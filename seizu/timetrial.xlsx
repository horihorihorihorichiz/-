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目標タイム" sheetId="1" state="visible" r:id="rId1"/>
    <sheet name="記録" sheetId="2" state="visible" r:id="rId2"/>
    <sheet name="集計" sheetId="3" state="visible" r:id="rId3"/>
    <sheet name="本番の流れ" sheetId="4" state="visible" r:id="rId4"/>
  </sheets>
  <definedNames/>
  <calcPr calcId="124519" fullCalcOnLoad="1"/>
</workbook>
</file>

<file path=xl/styles.xml><?xml version="1.0" encoding="utf-8"?>
<styleSheet xmlns="http://schemas.openxmlformats.org/spreadsheetml/2006/main">
  <numFmts count="1">
    <numFmt numFmtId="164" formatCode="m&quot;/&quot;d"/>
  </numFmts>
  <fonts count="7">
    <font>
      <name val="Calibri"/>
      <family val="2"/>
      <color theme="1"/>
      <sz val="11"/>
      <scheme val="minor"/>
    </font>
    <font>
      <b val="1"/>
      <color rgb="001F2937"/>
      <sz val="14"/>
    </font>
    <font>
      <b val="1"/>
      <color rgb="00FFFFFF"/>
      <sz val="11"/>
    </font>
    <font>
      <color rgb="006B6459"/>
      <sz val="10"/>
    </font>
    <font>
      <b val="1"/>
      <color rgb="001F2937"/>
      <sz val="15"/>
    </font>
    <font>
      <b val="1"/>
      <color rgb="00B03060"/>
      <sz val="12"/>
    </font>
    <font>
      <sz val="11"/>
    </font>
  </fonts>
  <fills count="5">
    <fill>
      <patternFill/>
    </fill>
    <fill>
      <patternFill patternType="gray125"/>
    </fill>
    <fill>
      <patternFill patternType="solid">
        <fgColor rgb="00B03060"/>
      </patternFill>
    </fill>
    <fill>
      <patternFill patternType="solid">
        <fgColor rgb="00FAFAF8"/>
      </patternFill>
    </fill>
    <fill>
      <patternFill patternType="solid">
        <fgColor rgb="00FFF3C4"/>
      </patternFill>
    </fill>
  </fills>
  <borders count="2">
    <border>
      <left/>
      <right/>
      <top/>
      <bottom/>
      <diagonal/>
    </border>
    <border>
      <left style="thin">
        <color rgb="00D8D2C6"/>
      </left>
      <right style="thin">
        <color rgb="00D8D2C6"/>
      </right>
      <top style="thin">
        <color rgb="00D8D2C6"/>
      </top>
      <bottom style="thin">
        <color rgb="00D8D2C6"/>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center"/>
    </xf>
    <xf numFmtId="0" fontId="3" fillId="0" borderId="0" pivotButton="0" quotePrefix="0" xfId="0"/>
    <xf numFmtId="0" fontId="4" fillId="0" borderId="0" pivotButton="0" quotePrefix="0" xfId="0"/>
    <xf numFmtId="164" fontId="0" fillId="0" borderId="1" pivotButton="0" quotePrefix="0" xfId="0"/>
    <xf numFmtId="164" fontId="0" fillId="3" borderId="1" pivotButton="0" quotePrefix="0" xfId="0"/>
    <xf numFmtId="0" fontId="0" fillId="3" borderId="1" pivotButton="0" quotePrefix="0" xfId="0"/>
    <xf numFmtId="0" fontId="0" fillId="3" borderId="1" applyAlignment="1" pivotButton="0" quotePrefix="0" xfId="0">
      <alignment horizontal="center"/>
    </xf>
    <xf numFmtId="0" fontId="0" fillId="4" borderId="1" applyAlignment="1" pivotButton="0" quotePrefix="0" xfId="0">
      <alignment horizontal="center"/>
    </xf>
    <xf numFmtId="0" fontId="0" fillId="4" borderId="1" pivotButton="0" quotePrefix="0" xfId="0"/>
    <xf numFmtId="0" fontId="5" fillId="0" borderId="0" pivotButton="0" quotePrefix="0" xfId="0"/>
    <xf numFmtId="0" fontId="6" fillId="0" borderId="0" pivotButton="0" quotePrefix="0" xfId="0"/>
  </cellXfs>
  <cellStyles count="1">
    <cellStyle name="Normal" xfId="0" builtinId="0" hidden="0"/>
  </cellStyles>
  <dxfs count="2">
    <dxf>
      <fill>
        <patternFill patternType="solid">
          <fgColor rgb="00D8F0DC"/>
        </patternFill>
      </fill>
    </dxf>
    <dxf>
      <fill>
        <patternFill patternType="solid">
          <fgColor rgb="00FBDDD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chart>
    <title>
      <tx>
        <rich>
          <a:bodyPr/>
          <a:p>
            <a:pPr>
              <a:defRPr/>
            </a:pPr>
            <a:r>
              <a:t>目標 と 直近タイム</a:t>
            </a:r>
          </a:p>
        </rich>
      </tx>
    </title>
    <plotArea>
      <barChart>
        <barDir val="col"/>
        <grouping val="clustered"/>
        <ser>
          <idx val="0"/>
          <order val="0"/>
          <tx>
            <strRef>
              <f>'集計'!B3</f>
            </strRef>
          </tx>
          <spPr>
            <a:ln>
              <a:prstDash val="solid"/>
            </a:ln>
          </spPr>
          <cat>
            <numRef>
              <f>'集計'!$A$4:$A$13</f>
            </numRef>
          </cat>
          <val>
            <numRef>
              <f>'集計'!$B$4:$B$13</f>
            </numRef>
          </val>
        </ser>
        <ser>
          <idx val="1"/>
          <order val="1"/>
          <tx>
            <strRef>
              <f>'集計'!F3</f>
            </strRef>
          </tx>
          <spPr>
            <a:ln>
              <a:prstDash val="solid"/>
            </a:ln>
          </spPr>
          <cat>
            <numRef>
              <f>'集計'!$A$4:$A$13</f>
            </numRef>
          </cat>
          <val>
            <numRef>
              <f>'集計'!$F$4:$F$13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2</row>
      <rowOff>0</rowOff>
    </from>
    <ext cx="720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22" customWidth="1" min="1" max="1"/>
    <col width="10" customWidth="1" min="2" max="2"/>
    <col width="44" customWidth="1" min="3" max="3"/>
  </cols>
  <sheetData>
    <row r="1">
      <c r="A1" s="1" t="inlineStr">
        <is>
          <t>目標タイム表（この時間で描けるようになるのが目標）</t>
        </is>
      </c>
    </row>
    <row r="3" ht="24" customHeight="1">
      <c r="A3" s="2" t="inlineStr">
        <is>
          <t>種目</t>
        </is>
      </c>
      <c r="B3" s="2" t="inlineStr">
        <is>
          <t>目標(分)</t>
        </is>
      </c>
      <c r="C3" s="2" t="inlineStr">
        <is>
          <t>何をする時間か</t>
        </is>
      </c>
    </row>
    <row r="4">
      <c r="A4" s="3" t="inlineStr">
        <is>
          <t>読み取り</t>
        </is>
      </c>
      <c r="B4" s="4" t="n">
        <v>25</v>
      </c>
      <c r="C4" s="3" t="inlineStr">
        <is>
          <t>問題文を読んで条件を書き出すまで</t>
        </is>
      </c>
    </row>
    <row r="5">
      <c r="A5" s="3" t="inlineStr">
        <is>
          <t>エスキス</t>
        </is>
      </c>
      <c r="B5" s="4" t="n">
        <v>60</v>
      </c>
      <c r="C5" s="3" t="inlineStr">
        <is>
          <t>間取りを決めて下書きが固まるまで</t>
        </is>
      </c>
    </row>
    <row r="6">
      <c r="A6" s="3" t="inlineStr">
        <is>
          <t>記述</t>
        </is>
      </c>
      <c r="B6" s="4" t="n">
        <v>25</v>
      </c>
      <c r="C6" s="3" t="inlineStr">
        <is>
          <t>計画の要点等をすべて書き終えるまで</t>
        </is>
      </c>
    </row>
    <row r="7">
      <c r="A7" s="3" t="inlineStr">
        <is>
          <t>1階平面図兼配置図</t>
        </is>
      </c>
      <c r="B7" s="4" t="n">
        <v>40</v>
      </c>
      <c r="C7" s="3" t="inlineStr">
        <is>
          <t>1階の平面図と配置図</t>
        </is>
      </c>
    </row>
    <row r="8">
      <c r="A8" s="3" t="inlineStr">
        <is>
          <t>2階平面図</t>
        </is>
      </c>
      <c r="B8" s="4" t="n">
        <v>30</v>
      </c>
      <c r="C8" s="3" t="inlineStr">
        <is>
          <t>2階の平面図</t>
        </is>
      </c>
    </row>
    <row r="9">
      <c r="A9" s="3" t="inlineStr">
        <is>
          <t>3階平面図</t>
        </is>
      </c>
      <c r="B9" s="4" t="n">
        <v>25</v>
      </c>
      <c r="C9" s="3" t="inlineStr">
        <is>
          <t>3階の平面図</t>
        </is>
      </c>
    </row>
    <row r="10">
      <c r="A10" s="3" t="inlineStr">
        <is>
          <t>床伏図兼小屋伏図</t>
        </is>
      </c>
      <c r="B10" s="4" t="n">
        <v>35</v>
      </c>
      <c r="C10" s="3" t="inlineStr">
        <is>
          <t>骨組みの図</t>
        </is>
      </c>
    </row>
    <row r="11">
      <c r="A11" s="3" t="inlineStr">
        <is>
          <t>立面図</t>
        </is>
      </c>
      <c r="B11" s="4" t="n">
        <v>20</v>
      </c>
      <c r="C11" s="3" t="inlineStr">
        <is>
          <t>横から見た図</t>
        </is>
      </c>
    </row>
    <row r="12">
      <c r="A12" s="3" t="inlineStr">
        <is>
          <t>部分詳細図1/20</t>
        </is>
      </c>
      <c r="B12" s="4" t="n">
        <v>25</v>
      </c>
      <c r="C12" s="3" t="inlineStr">
        <is>
          <t>外壁の断面</t>
        </is>
      </c>
    </row>
    <row r="13">
      <c r="A13" s="3" t="inlineStr">
        <is>
          <t>面積表</t>
        </is>
      </c>
      <c r="B13" s="4" t="n">
        <v>5</v>
      </c>
      <c r="C13" s="3" t="inlineStr">
        <is>
          <t>各階と延べ面積</t>
        </is>
      </c>
    </row>
    <row r="14">
      <c r="A14" s="3" t="inlineStr">
        <is>
          <t>通し（5時間）</t>
        </is>
      </c>
      <c r="B14" s="4" t="n">
        <v>300</v>
      </c>
      <c r="C14" s="3" t="inlineStr">
        <is>
          <t>本番と同じ流れを最初から最後まで</t>
        </is>
      </c>
    </row>
    <row r="16">
      <c r="A16" s="5" t="inlineStr">
        <is>
          <t>※ 図面だけの合計 ＝ 180分。読み取り・エスキス・記述を入れて290分。5時間＝300分なので、余りは10分しかない。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4"/>
  <sheetViews>
    <sheetView workbookViewId="0">
      <pane ySplit="4" topLeftCell="A5" activePane="bottomLeft" state="frozen"/>
      <selection pane="bottomLeft" activeCell="A1" sqref="A1"/>
    </sheetView>
  </sheetViews>
  <sheetFormatPr baseColWidth="8" defaultRowHeight="15"/>
  <cols>
    <col width="12" customWidth="1" min="1" max="1"/>
    <col width="22" customWidth="1" min="2" max="2"/>
    <col width="10" customWidth="1" min="3" max="3"/>
    <col width="10" customWidth="1" min="4" max="4"/>
    <col width="10" customWidth="1" min="5" max="5"/>
    <col width="9" customWidth="1" min="6" max="6"/>
    <col width="46" customWidth="1" min="7" max="7"/>
  </cols>
  <sheetData>
    <row r="1">
      <c r="A1" s="6" t="inlineStr">
        <is>
          <t>タイムトライアル記録</t>
        </is>
      </c>
    </row>
    <row r="2">
      <c r="A2" s="5" t="inlineStr">
        <is>
          <t>B列で種目を選ぶと目標分が自動で入ります。D列に実際にかかった分を入れてください。</t>
        </is>
      </c>
    </row>
    <row r="4" ht="24" customHeight="1">
      <c r="A4" s="2" t="inlineStr">
        <is>
          <t>日付</t>
        </is>
      </c>
      <c r="B4" s="2" t="inlineStr">
        <is>
          <t>種目</t>
        </is>
      </c>
      <c r="C4" s="2" t="inlineStr">
        <is>
          <t>目標(分)</t>
        </is>
      </c>
      <c r="D4" s="2" t="inlineStr">
        <is>
          <t>実際(分)</t>
        </is>
      </c>
      <c r="E4" s="2" t="inlineStr">
        <is>
          <t>差(分)</t>
        </is>
      </c>
      <c r="F4" s="2" t="inlineStr">
        <is>
          <t>何回目</t>
        </is>
      </c>
      <c r="G4" s="2" t="inlineStr">
        <is>
          <t>できなかったこと・気づき</t>
        </is>
      </c>
    </row>
    <row r="5">
      <c r="A5" s="7" t="n"/>
      <c r="B5" s="3" t="n"/>
      <c r="C5" s="4">
        <f>IF($B5="","",IFERROR(VLOOKUP($B5,目標タイム!$A:$B,2,FALSE),""))</f>
        <v/>
      </c>
      <c r="D5" s="4" t="n"/>
      <c r="E5" s="4">
        <f>IF(OR($C5="",$D5=""),"",$D5-$C5)</f>
        <v/>
      </c>
      <c r="F5" s="4">
        <f>IF($B5="","",COUNTIF($B$5:$B5,$B5))</f>
        <v/>
      </c>
      <c r="G5" s="3" t="n"/>
    </row>
    <row r="6">
      <c r="A6" s="8" t="n"/>
      <c r="B6" s="9" t="n"/>
      <c r="C6" s="10">
        <f>IF($B6="","",IFERROR(VLOOKUP($B6,目標タイム!$A:$B,2,FALSE),""))</f>
        <v/>
      </c>
      <c r="D6" s="10" t="n"/>
      <c r="E6" s="10">
        <f>IF(OR($C6="",$D6=""),"",$D6-$C6)</f>
        <v/>
      </c>
      <c r="F6" s="10">
        <f>IF($B6="","",COUNTIF($B$5:$B6,$B6))</f>
        <v/>
      </c>
      <c r="G6" s="9" t="n"/>
    </row>
    <row r="7">
      <c r="A7" s="7" t="n"/>
      <c r="B7" s="3" t="n"/>
      <c r="C7" s="4">
        <f>IF($B7="","",IFERROR(VLOOKUP($B7,目標タイム!$A:$B,2,FALSE),""))</f>
        <v/>
      </c>
      <c r="D7" s="4" t="n"/>
      <c r="E7" s="4">
        <f>IF(OR($C7="",$D7=""),"",$D7-$C7)</f>
        <v/>
      </c>
      <c r="F7" s="4">
        <f>IF($B7="","",COUNTIF($B$5:$B7,$B7))</f>
        <v/>
      </c>
      <c r="G7" s="3" t="n"/>
    </row>
    <row r="8">
      <c r="A8" s="8" t="n"/>
      <c r="B8" s="9" t="n"/>
      <c r="C8" s="10">
        <f>IF($B8="","",IFERROR(VLOOKUP($B8,目標タイム!$A:$B,2,FALSE),""))</f>
        <v/>
      </c>
      <c r="D8" s="10" t="n"/>
      <c r="E8" s="10">
        <f>IF(OR($C8="",$D8=""),"",$D8-$C8)</f>
        <v/>
      </c>
      <c r="F8" s="10">
        <f>IF($B8="","",COUNTIF($B$5:$B8,$B8))</f>
        <v/>
      </c>
      <c r="G8" s="9" t="n"/>
    </row>
    <row r="9">
      <c r="A9" s="7" t="n"/>
      <c r="B9" s="3" t="n"/>
      <c r="C9" s="4">
        <f>IF($B9="","",IFERROR(VLOOKUP($B9,目標タイム!$A:$B,2,FALSE),""))</f>
        <v/>
      </c>
      <c r="D9" s="4" t="n"/>
      <c r="E9" s="4">
        <f>IF(OR($C9="",$D9=""),"",$D9-$C9)</f>
        <v/>
      </c>
      <c r="F9" s="4">
        <f>IF($B9="","",COUNTIF($B$5:$B9,$B9))</f>
        <v/>
      </c>
      <c r="G9" s="3" t="n"/>
    </row>
    <row r="10">
      <c r="A10" s="8" t="n"/>
      <c r="B10" s="9" t="n"/>
      <c r="C10" s="10">
        <f>IF($B10="","",IFERROR(VLOOKUP($B10,目標タイム!$A:$B,2,FALSE),""))</f>
        <v/>
      </c>
      <c r="D10" s="10" t="n"/>
      <c r="E10" s="10">
        <f>IF(OR($C10="",$D10=""),"",$D10-$C10)</f>
        <v/>
      </c>
      <c r="F10" s="10">
        <f>IF($B10="","",COUNTIF($B$5:$B10,$B10))</f>
        <v/>
      </c>
      <c r="G10" s="9" t="n"/>
    </row>
    <row r="11">
      <c r="A11" s="7" t="n"/>
      <c r="B11" s="3" t="n"/>
      <c r="C11" s="4">
        <f>IF($B11="","",IFERROR(VLOOKUP($B11,目標タイム!$A:$B,2,FALSE),""))</f>
        <v/>
      </c>
      <c r="D11" s="4" t="n"/>
      <c r="E11" s="4">
        <f>IF(OR($C11="",$D11=""),"",$D11-$C11)</f>
        <v/>
      </c>
      <c r="F11" s="4">
        <f>IF($B11="","",COUNTIF($B$5:$B11,$B11))</f>
        <v/>
      </c>
      <c r="G11" s="3" t="n"/>
    </row>
    <row r="12">
      <c r="A12" s="8" t="n"/>
      <c r="B12" s="9" t="n"/>
      <c r="C12" s="10">
        <f>IF($B12="","",IFERROR(VLOOKUP($B12,目標タイム!$A:$B,2,FALSE),""))</f>
        <v/>
      </c>
      <c r="D12" s="10" t="n"/>
      <c r="E12" s="10">
        <f>IF(OR($C12="",$D12=""),"",$D12-$C12)</f>
        <v/>
      </c>
      <c r="F12" s="10">
        <f>IF($B12="","",COUNTIF($B$5:$B12,$B12))</f>
        <v/>
      </c>
      <c r="G12" s="9" t="n"/>
    </row>
    <row r="13">
      <c r="A13" s="7" t="n"/>
      <c r="B13" s="3" t="n"/>
      <c r="C13" s="4">
        <f>IF($B13="","",IFERROR(VLOOKUP($B13,目標タイム!$A:$B,2,FALSE),""))</f>
        <v/>
      </c>
      <c r="D13" s="4" t="n"/>
      <c r="E13" s="4">
        <f>IF(OR($C13="",$D13=""),"",$D13-$C13)</f>
        <v/>
      </c>
      <c r="F13" s="4">
        <f>IF($B13="","",COUNTIF($B$5:$B13,$B13))</f>
        <v/>
      </c>
      <c r="G13" s="3" t="n"/>
    </row>
    <row r="14">
      <c r="A14" s="8" t="n"/>
      <c r="B14" s="9" t="n"/>
      <c r="C14" s="10">
        <f>IF($B14="","",IFERROR(VLOOKUP($B14,目標タイム!$A:$B,2,FALSE),""))</f>
        <v/>
      </c>
      <c r="D14" s="10" t="n"/>
      <c r="E14" s="10">
        <f>IF(OR($C14="",$D14=""),"",$D14-$C14)</f>
        <v/>
      </c>
      <c r="F14" s="10">
        <f>IF($B14="","",COUNTIF($B$5:$B14,$B14))</f>
        <v/>
      </c>
      <c r="G14" s="9" t="n"/>
    </row>
    <row r="15">
      <c r="A15" s="7" t="n"/>
      <c r="B15" s="3" t="n"/>
      <c r="C15" s="4">
        <f>IF($B15="","",IFERROR(VLOOKUP($B15,目標タイム!$A:$B,2,FALSE),""))</f>
        <v/>
      </c>
      <c r="D15" s="4" t="n"/>
      <c r="E15" s="4">
        <f>IF(OR($C15="",$D15=""),"",$D15-$C15)</f>
        <v/>
      </c>
      <c r="F15" s="4">
        <f>IF($B15="","",COUNTIF($B$5:$B15,$B15))</f>
        <v/>
      </c>
      <c r="G15" s="3" t="n"/>
    </row>
    <row r="16">
      <c r="A16" s="8" t="n"/>
      <c r="B16" s="9" t="n"/>
      <c r="C16" s="10">
        <f>IF($B16="","",IFERROR(VLOOKUP($B16,目標タイム!$A:$B,2,FALSE),""))</f>
        <v/>
      </c>
      <c r="D16" s="10" t="n"/>
      <c r="E16" s="10">
        <f>IF(OR($C16="",$D16=""),"",$D16-$C16)</f>
        <v/>
      </c>
      <c r="F16" s="10">
        <f>IF($B16="","",COUNTIF($B$5:$B16,$B16))</f>
        <v/>
      </c>
      <c r="G16" s="9" t="n"/>
    </row>
    <row r="17">
      <c r="A17" s="7" t="n"/>
      <c r="B17" s="3" t="n"/>
      <c r="C17" s="4">
        <f>IF($B17="","",IFERROR(VLOOKUP($B17,目標タイム!$A:$B,2,FALSE),""))</f>
        <v/>
      </c>
      <c r="D17" s="4" t="n"/>
      <c r="E17" s="4">
        <f>IF(OR($C17="",$D17=""),"",$D17-$C17)</f>
        <v/>
      </c>
      <c r="F17" s="4">
        <f>IF($B17="","",COUNTIF($B$5:$B17,$B17))</f>
        <v/>
      </c>
      <c r="G17" s="3" t="n"/>
    </row>
    <row r="18">
      <c r="A18" s="8" t="n"/>
      <c r="B18" s="9" t="n"/>
      <c r="C18" s="10">
        <f>IF($B18="","",IFERROR(VLOOKUP($B18,目標タイム!$A:$B,2,FALSE),""))</f>
        <v/>
      </c>
      <c r="D18" s="10" t="n"/>
      <c r="E18" s="10">
        <f>IF(OR($C18="",$D18=""),"",$D18-$C18)</f>
        <v/>
      </c>
      <c r="F18" s="10">
        <f>IF($B18="","",COUNTIF($B$5:$B18,$B18))</f>
        <v/>
      </c>
      <c r="G18" s="9" t="n"/>
    </row>
    <row r="19">
      <c r="A19" s="7" t="n"/>
      <c r="B19" s="3" t="n"/>
      <c r="C19" s="4">
        <f>IF($B19="","",IFERROR(VLOOKUP($B19,目標タイム!$A:$B,2,FALSE),""))</f>
        <v/>
      </c>
      <c r="D19" s="4" t="n"/>
      <c r="E19" s="4">
        <f>IF(OR($C19="",$D19=""),"",$D19-$C19)</f>
        <v/>
      </c>
      <c r="F19" s="4">
        <f>IF($B19="","",COUNTIF($B$5:$B19,$B19))</f>
        <v/>
      </c>
      <c r="G19" s="3" t="n"/>
    </row>
    <row r="20">
      <c r="A20" s="8" t="n"/>
      <c r="B20" s="9" t="n"/>
      <c r="C20" s="10">
        <f>IF($B20="","",IFERROR(VLOOKUP($B20,目標タイム!$A:$B,2,FALSE),""))</f>
        <v/>
      </c>
      <c r="D20" s="10" t="n"/>
      <c r="E20" s="10">
        <f>IF(OR($C20="",$D20=""),"",$D20-$C20)</f>
        <v/>
      </c>
      <c r="F20" s="10">
        <f>IF($B20="","",COUNTIF($B$5:$B20,$B20))</f>
        <v/>
      </c>
      <c r="G20" s="9" t="n"/>
    </row>
    <row r="21">
      <c r="A21" s="7" t="n"/>
      <c r="B21" s="3" t="n"/>
      <c r="C21" s="4">
        <f>IF($B21="","",IFERROR(VLOOKUP($B21,目標タイム!$A:$B,2,FALSE),""))</f>
        <v/>
      </c>
      <c r="D21" s="4" t="n"/>
      <c r="E21" s="4">
        <f>IF(OR($C21="",$D21=""),"",$D21-$C21)</f>
        <v/>
      </c>
      <c r="F21" s="4">
        <f>IF($B21="","",COUNTIF($B$5:$B21,$B21))</f>
        <v/>
      </c>
      <c r="G21" s="3" t="n"/>
    </row>
    <row r="22">
      <c r="A22" s="8" t="n"/>
      <c r="B22" s="9" t="n"/>
      <c r="C22" s="10">
        <f>IF($B22="","",IFERROR(VLOOKUP($B22,目標タイム!$A:$B,2,FALSE),""))</f>
        <v/>
      </c>
      <c r="D22" s="10" t="n"/>
      <c r="E22" s="10">
        <f>IF(OR($C22="",$D22=""),"",$D22-$C22)</f>
        <v/>
      </c>
      <c r="F22" s="10">
        <f>IF($B22="","",COUNTIF($B$5:$B22,$B22))</f>
        <v/>
      </c>
      <c r="G22" s="9" t="n"/>
    </row>
    <row r="23">
      <c r="A23" s="7" t="n"/>
      <c r="B23" s="3" t="n"/>
      <c r="C23" s="4">
        <f>IF($B23="","",IFERROR(VLOOKUP($B23,目標タイム!$A:$B,2,FALSE),""))</f>
        <v/>
      </c>
      <c r="D23" s="4" t="n"/>
      <c r="E23" s="4">
        <f>IF(OR($C23="",$D23=""),"",$D23-$C23)</f>
        <v/>
      </c>
      <c r="F23" s="4">
        <f>IF($B23="","",COUNTIF($B$5:$B23,$B23))</f>
        <v/>
      </c>
      <c r="G23" s="3" t="n"/>
    </row>
    <row r="24">
      <c r="A24" s="8" t="n"/>
      <c r="B24" s="9" t="n"/>
      <c r="C24" s="10">
        <f>IF($B24="","",IFERROR(VLOOKUP($B24,目標タイム!$A:$B,2,FALSE),""))</f>
        <v/>
      </c>
      <c r="D24" s="10" t="n"/>
      <c r="E24" s="10">
        <f>IF(OR($C24="",$D24=""),"",$D24-$C24)</f>
        <v/>
      </c>
      <c r="F24" s="10">
        <f>IF($B24="","",COUNTIF($B$5:$B24,$B24))</f>
        <v/>
      </c>
      <c r="G24" s="9" t="n"/>
    </row>
    <row r="25">
      <c r="A25" s="7" t="n"/>
      <c r="B25" s="3" t="n"/>
      <c r="C25" s="4">
        <f>IF($B25="","",IFERROR(VLOOKUP($B25,目標タイム!$A:$B,2,FALSE),""))</f>
        <v/>
      </c>
      <c r="D25" s="4" t="n"/>
      <c r="E25" s="4">
        <f>IF(OR($C25="",$D25=""),"",$D25-$C25)</f>
        <v/>
      </c>
      <c r="F25" s="4">
        <f>IF($B25="","",COUNTIF($B$5:$B25,$B25))</f>
        <v/>
      </c>
      <c r="G25" s="3" t="n"/>
    </row>
    <row r="26">
      <c r="A26" s="8" t="n"/>
      <c r="B26" s="9" t="n"/>
      <c r="C26" s="10">
        <f>IF($B26="","",IFERROR(VLOOKUP($B26,目標タイム!$A:$B,2,FALSE),""))</f>
        <v/>
      </c>
      <c r="D26" s="10" t="n"/>
      <c r="E26" s="10">
        <f>IF(OR($C26="",$D26=""),"",$D26-$C26)</f>
        <v/>
      </c>
      <c r="F26" s="10">
        <f>IF($B26="","",COUNTIF($B$5:$B26,$B26))</f>
        <v/>
      </c>
      <c r="G26" s="9" t="n"/>
    </row>
    <row r="27">
      <c r="A27" s="7" t="n"/>
      <c r="B27" s="3" t="n"/>
      <c r="C27" s="4">
        <f>IF($B27="","",IFERROR(VLOOKUP($B27,目標タイム!$A:$B,2,FALSE),""))</f>
        <v/>
      </c>
      <c r="D27" s="4" t="n"/>
      <c r="E27" s="4">
        <f>IF(OR($C27="",$D27=""),"",$D27-$C27)</f>
        <v/>
      </c>
      <c r="F27" s="4">
        <f>IF($B27="","",COUNTIF($B$5:$B27,$B27))</f>
        <v/>
      </c>
      <c r="G27" s="3" t="n"/>
    </row>
    <row r="28">
      <c r="A28" s="8" t="n"/>
      <c r="B28" s="9" t="n"/>
      <c r="C28" s="10">
        <f>IF($B28="","",IFERROR(VLOOKUP($B28,目標タイム!$A:$B,2,FALSE),""))</f>
        <v/>
      </c>
      <c r="D28" s="10" t="n"/>
      <c r="E28" s="10">
        <f>IF(OR($C28="",$D28=""),"",$D28-$C28)</f>
        <v/>
      </c>
      <c r="F28" s="10">
        <f>IF($B28="","",COUNTIF($B$5:$B28,$B28))</f>
        <v/>
      </c>
      <c r="G28" s="9" t="n"/>
    </row>
    <row r="29">
      <c r="A29" s="7" t="n"/>
      <c r="B29" s="3" t="n"/>
      <c r="C29" s="4">
        <f>IF($B29="","",IFERROR(VLOOKUP($B29,目標タイム!$A:$B,2,FALSE),""))</f>
        <v/>
      </c>
      <c r="D29" s="4" t="n"/>
      <c r="E29" s="4">
        <f>IF(OR($C29="",$D29=""),"",$D29-$C29)</f>
        <v/>
      </c>
      <c r="F29" s="4">
        <f>IF($B29="","",COUNTIF($B$5:$B29,$B29))</f>
        <v/>
      </c>
      <c r="G29" s="3" t="n"/>
    </row>
    <row r="30">
      <c r="A30" s="8" t="n"/>
      <c r="B30" s="9" t="n"/>
      <c r="C30" s="10">
        <f>IF($B30="","",IFERROR(VLOOKUP($B30,目標タイム!$A:$B,2,FALSE),""))</f>
        <v/>
      </c>
      <c r="D30" s="10" t="n"/>
      <c r="E30" s="10">
        <f>IF(OR($C30="",$D30=""),"",$D30-$C30)</f>
        <v/>
      </c>
      <c r="F30" s="10">
        <f>IF($B30="","",COUNTIF($B$5:$B30,$B30))</f>
        <v/>
      </c>
      <c r="G30" s="9" t="n"/>
    </row>
    <row r="31">
      <c r="A31" s="7" t="n"/>
      <c r="B31" s="3" t="n"/>
      <c r="C31" s="4">
        <f>IF($B31="","",IFERROR(VLOOKUP($B31,目標タイム!$A:$B,2,FALSE),""))</f>
        <v/>
      </c>
      <c r="D31" s="4" t="n"/>
      <c r="E31" s="4">
        <f>IF(OR($C31="",$D31=""),"",$D31-$C31)</f>
        <v/>
      </c>
      <c r="F31" s="4">
        <f>IF($B31="","",COUNTIF($B$5:$B31,$B31))</f>
        <v/>
      </c>
      <c r="G31" s="3" t="n"/>
    </row>
    <row r="32">
      <c r="A32" s="8" t="n"/>
      <c r="B32" s="9" t="n"/>
      <c r="C32" s="10">
        <f>IF($B32="","",IFERROR(VLOOKUP($B32,目標タイム!$A:$B,2,FALSE),""))</f>
        <v/>
      </c>
      <c r="D32" s="10" t="n"/>
      <c r="E32" s="10">
        <f>IF(OR($C32="",$D32=""),"",$D32-$C32)</f>
        <v/>
      </c>
      <c r="F32" s="10">
        <f>IF($B32="","",COUNTIF($B$5:$B32,$B32))</f>
        <v/>
      </c>
      <c r="G32" s="9" t="n"/>
    </row>
    <row r="33">
      <c r="A33" s="7" t="n"/>
      <c r="B33" s="3" t="n"/>
      <c r="C33" s="4">
        <f>IF($B33="","",IFERROR(VLOOKUP($B33,目標タイム!$A:$B,2,FALSE),""))</f>
        <v/>
      </c>
      <c r="D33" s="4" t="n"/>
      <c r="E33" s="4">
        <f>IF(OR($C33="",$D33=""),"",$D33-$C33)</f>
        <v/>
      </c>
      <c r="F33" s="4">
        <f>IF($B33="","",COUNTIF($B$5:$B33,$B33))</f>
        <v/>
      </c>
      <c r="G33" s="3" t="n"/>
    </row>
    <row r="34">
      <c r="A34" s="8" t="n"/>
      <c r="B34" s="9" t="n"/>
      <c r="C34" s="10">
        <f>IF($B34="","",IFERROR(VLOOKUP($B34,目標タイム!$A:$B,2,FALSE),""))</f>
        <v/>
      </c>
      <c r="D34" s="10" t="n"/>
      <c r="E34" s="10">
        <f>IF(OR($C34="",$D34=""),"",$D34-$C34)</f>
        <v/>
      </c>
      <c r="F34" s="10">
        <f>IF($B34="","",COUNTIF($B$5:$B34,$B34))</f>
        <v/>
      </c>
      <c r="G34" s="9" t="n"/>
    </row>
    <row r="35">
      <c r="A35" s="7" t="n"/>
      <c r="B35" s="3" t="n"/>
      <c r="C35" s="4">
        <f>IF($B35="","",IFERROR(VLOOKUP($B35,目標タイム!$A:$B,2,FALSE),""))</f>
        <v/>
      </c>
      <c r="D35" s="4" t="n"/>
      <c r="E35" s="4">
        <f>IF(OR($C35="",$D35=""),"",$D35-$C35)</f>
        <v/>
      </c>
      <c r="F35" s="4">
        <f>IF($B35="","",COUNTIF($B$5:$B35,$B35))</f>
        <v/>
      </c>
      <c r="G35" s="3" t="n"/>
    </row>
    <row r="36">
      <c r="A36" s="8" t="n"/>
      <c r="B36" s="9" t="n"/>
      <c r="C36" s="10">
        <f>IF($B36="","",IFERROR(VLOOKUP($B36,目標タイム!$A:$B,2,FALSE),""))</f>
        <v/>
      </c>
      <c r="D36" s="10" t="n"/>
      <c r="E36" s="10">
        <f>IF(OR($C36="",$D36=""),"",$D36-$C36)</f>
        <v/>
      </c>
      <c r="F36" s="10">
        <f>IF($B36="","",COUNTIF($B$5:$B36,$B36))</f>
        <v/>
      </c>
      <c r="G36" s="9" t="n"/>
    </row>
    <row r="37">
      <c r="A37" s="7" t="n"/>
      <c r="B37" s="3" t="n"/>
      <c r="C37" s="4">
        <f>IF($B37="","",IFERROR(VLOOKUP($B37,目標タイム!$A:$B,2,FALSE),""))</f>
        <v/>
      </c>
      <c r="D37" s="4" t="n"/>
      <c r="E37" s="4">
        <f>IF(OR($C37="",$D37=""),"",$D37-$C37)</f>
        <v/>
      </c>
      <c r="F37" s="4">
        <f>IF($B37="","",COUNTIF($B$5:$B37,$B37))</f>
        <v/>
      </c>
      <c r="G37" s="3" t="n"/>
    </row>
    <row r="38">
      <c r="A38" s="8" t="n"/>
      <c r="B38" s="9" t="n"/>
      <c r="C38" s="10">
        <f>IF($B38="","",IFERROR(VLOOKUP($B38,目標タイム!$A:$B,2,FALSE),""))</f>
        <v/>
      </c>
      <c r="D38" s="10" t="n"/>
      <c r="E38" s="10">
        <f>IF(OR($C38="",$D38=""),"",$D38-$C38)</f>
        <v/>
      </c>
      <c r="F38" s="10">
        <f>IF($B38="","",COUNTIF($B$5:$B38,$B38))</f>
        <v/>
      </c>
      <c r="G38" s="9" t="n"/>
    </row>
    <row r="39">
      <c r="A39" s="7" t="n"/>
      <c r="B39" s="3" t="n"/>
      <c r="C39" s="4">
        <f>IF($B39="","",IFERROR(VLOOKUP($B39,目標タイム!$A:$B,2,FALSE),""))</f>
        <v/>
      </c>
      <c r="D39" s="4" t="n"/>
      <c r="E39" s="4">
        <f>IF(OR($C39="",$D39=""),"",$D39-$C39)</f>
        <v/>
      </c>
      <c r="F39" s="4">
        <f>IF($B39="","",COUNTIF($B$5:$B39,$B39))</f>
        <v/>
      </c>
      <c r="G39" s="3" t="n"/>
    </row>
    <row r="40">
      <c r="A40" s="8" t="n"/>
      <c r="B40" s="9" t="n"/>
      <c r="C40" s="10">
        <f>IF($B40="","",IFERROR(VLOOKUP($B40,目標タイム!$A:$B,2,FALSE),""))</f>
        <v/>
      </c>
      <c r="D40" s="10" t="n"/>
      <c r="E40" s="10">
        <f>IF(OR($C40="",$D40=""),"",$D40-$C40)</f>
        <v/>
      </c>
      <c r="F40" s="10">
        <f>IF($B40="","",COUNTIF($B$5:$B40,$B40))</f>
        <v/>
      </c>
      <c r="G40" s="9" t="n"/>
    </row>
    <row r="41">
      <c r="A41" s="7" t="n"/>
      <c r="B41" s="3" t="n"/>
      <c r="C41" s="4">
        <f>IF($B41="","",IFERROR(VLOOKUP($B41,目標タイム!$A:$B,2,FALSE),""))</f>
        <v/>
      </c>
      <c r="D41" s="4" t="n"/>
      <c r="E41" s="4">
        <f>IF(OR($C41="",$D41=""),"",$D41-$C41)</f>
        <v/>
      </c>
      <c r="F41" s="4">
        <f>IF($B41="","",COUNTIF($B$5:$B41,$B41))</f>
        <v/>
      </c>
      <c r="G41" s="3" t="n"/>
    </row>
    <row r="42">
      <c r="A42" s="8" t="n"/>
      <c r="B42" s="9" t="n"/>
      <c r="C42" s="10">
        <f>IF($B42="","",IFERROR(VLOOKUP($B42,目標タイム!$A:$B,2,FALSE),""))</f>
        <v/>
      </c>
      <c r="D42" s="10" t="n"/>
      <c r="E42" s="10">
        <f>IF(OR($C42="",$D42=""),"",$D42-$C42)</f>
        <v/>
      </c>
      <c r="F42" s="10">
        <f>IF($B42="","",COUNTIF($B$5:$B42,$B42))</f>
        <v/>
      </c>
      <c r="G42" s="9" t="n"/>
    </row>
    <row r="43">
      <c r="A43" s="7" t="n"/>
      <c r="B43" s="3" t="n"/>
      <c r="C43" s="4">
        <f>IF($B43="","",IFERROR(VLOOKUP($B43,目標タイム!$A:$B,2,FALSE),""))</f>
        <v/>
      </c>
      <c r="D43" s="4" t="n"/>
      <c r="E43" s="4">
        <f>IF(OR($C43="",$D43=""),"",$D43-$C43)</f>
        <v/>
      </c>
      <c r="F43" s="4">
        <f>IF($B43="","",COUNTIF($B$5:$B43,$B43))</f>
        <v/>
      </c>
      <c r="G43" s="3" t="n"/>
    </row>
    <row r="44">
      <c r="A44" s="8" t="n"/>
      <c r="B44" s="9" t="n"/>
      <c r="C44" s="10">
        <f>IF($B44="","",IFERROR(VLOOKUP($B44,目標タイム!$A:$B,2,FALSE),""))</f>
        <v/>
      </c>
      <c r="D44" s="10" t="n"/>
      <c r="E44" s="10">
        <f>IF(OR($C44="",$D44=""),"",$D44-$C44)</f>
        <v/>
      </c>
      <c r="F44" s="10">
        <f>IF($B44="","",COUNTIF($B$5:$B44,$B44))</f>
        <v/>
      </c>
      <c r="G44" s="9" t="n"/>
    </row>
    <row r="45">
      <c r="A45" s="7" t="n"/>
      <c r="B45" s="3" t="n"/>
      <c r="C45" s="4">
        <f>IF($B45="","",IFERROR(VLOOKUP($B45,目標タイム!$A:$B,2,FALSE),""))</f>
        <v/>
      </c>
      <c r="D45" s="4" t="n"/>
      <c r="E45" s="4">
        <f>IF(OR($C45="",$D45=""),"",$D45-$C45)</f>
        <v/>
      </c>
      <c r="F45" s="4">
        <f>IF($B45="","",COUNTIF($B$5:$B45,$B45))</f>
        <v/>
      </c>
      <c r="G45" s="3" t="n"/>
    </row>
    <row r="46">
      <c r="A46" s="8" t="n"/>
      <c r="B46" s="9" t="n"/>
      <c r="C46" s="10">
        <f>IF($B46="","",IFERROR(VLOOKUP($B46,目標タイム!$A:$B,2,FALSE),""))</f>
        <v/>
      </c>
      <c r="D46" s="10" t="n"/>
      <c r="E46" s="10">
        <f>IF(OR($C46="",$D46=""),"",$D46-$C46)</f>
        <v/>
      </c>
      <c r="F46" s="10">
        <f>IF($B46="","",COUNTIF($B$5:$B46,$B46))</f>
        <v/>
      </c>
      <c r="G46" s="9" t="n"/>
    </row>
    <row r="47">
      <c r="A47" s="7" t="n"/>
      <c r="B47" s="3" t="n"/>
      <c r="C47" s="4">
        <f>IF($B47="","",IFERROR(VLOOKUP($B47,目標タイム!$A:$B,2,FALSE),""))</f>
        <v/>
      </c>
      <c r="D47" s="4" t="n"/>
      <c r="E47" s="4">
        <f>IF(OR($C47="",$D47=""),"",$D47-$C47)</f>
        <v/>
      </c>
      <c r="F47" s="4">
        <f>IF($B47="","",COUNTIF($B$5:$B47,$B47))</f>
        <v/>
      </c>
      <c r="G47" s="3" t="n"/>
    </row>
    <row r="48">
      <c r="A48" s="8" t="n"/>
      <c r="B48" s="9" t="n"/>
      <c r="C48" s="10">
        <f>IF($B48="","",IFERROR(VLOOKUP($B48,目標タイム!$A:$B,2,FALSE),""))</f>
        <v/>
      </c>
      <c r="D48" s="10" t="n"/>
      <c r="E48" s="10">
        <f>IF(OR($C48="",$D48=""),"",$D48-$C48)</f>
        <v/>
      </c>
      <c r="F48" s="10">
        <f>IF($B48="","",COUNTIF($B$5:$B48,$B48))</f>
        <v/>
      </c>
      <c r="G48" s="9" t="n"/>
    </row>
    <row r="49">
      <c r="A49" s="7" t="n"/>
      <c r="B49" s="3" t="n"/>
      <c r="C49" s="4">
        <f>IF($B49="","",IFERROR(VLOOKUP($B49,目標タイム!$A:$B,2,FALSE),""))</f>
        <v/>
      </c>
      <c r="D49" s="4" t="n"/>
      <c r="E49" s="4">
        <f>IF(OR($C49="",$D49=""),"",$D49-$C49)</f>
        <v/>
      </c>
      <c r="F49" s="4">
        <f>IF($B49="","",COUNTIF($B$5:$B49,$B49))</f>
        <v/>
      </c>
      <c r="G49" s="3" t="n"/>
    </row>
    <row r="50">
      <c r="A50" s="8" t="n"/>
      <c r="B50" s="9" t="n"/>
      <c r="C50" s="10">
        <f>IF($B50="","",IFERROR(VLOOKUP($B50,目標タイム!$A:$B,2,FALSE),""))</f>
        <v/>
      </c>
      <c r="D50" s="10" t="n"/>
      <c r="E50" s="10">
        <f>IF(OR($C50="",$D50=""),"",$D50-$C50)</f>
        <v/>
      </c>
      <c r="F50" s="10">
        <f>IF($B50="","",COUNTIF($B$5:$B50,$B50))</f>
        <v/>
      </c>
      <c r="G50" s="9" t="n"/>
    </row>
    <row r="51">
      <c r="A51" s="7" t="n"/>
      <c r="B51" s="3" t="n"/>
      <c r="C51" s="4">
        <f>IF($B51="","",IFERROR(VLOOKUP($B51,目標タイム!$A:$B,2,FALSE),""))</f>
        <v/>
      </c>
      <c r="D51" s="4" t="n"/>
      <c r="E51" s="4">
        <f>IF(OR($C51="",$D51=""),"",$D51-$C51)</f>
        <v/>
      </c>
      <c r="F51" s="4">
        <f>IF($B51="","",COUNTIF($B$5:$B51,$B51))</f>
        <v/>
      </c>
      <c r="G51" s="3" t="n"/>
    </row>
    <row r="52">
      <c r="A52" s="8" t="n"/>
      <c r="B52" s="9" t="n"/>
      <c r="C52" s="10">
        <f>IF($B52="","",IFERROR(VLOOKUP($B52,目標タイム!$A:$B,2,FALSE),""))</f>
        <v/>
      </c>
      <c r="D52" s="10" t="n"/>
      <c r="E52" s="10">
        <f>IF(OR($C52="",$D52=""),"",$D52-$C52)</f>
        <v/>
      </c>
      <c r="F52" s="10">
        <f>IF($B52="","",COUNTIF($B$5:$B52,$B52))</f>
        <v/>
      </c>
      <c r="G52" s="9" t="n"/>
    </row>
    <row r="53">
      <c r="A53" s="7" t="n"/>
      <c r="B53" s="3" t="n"/>
      <c r="C53" s="4">
        <f>IF($B53="","",IFERROR(VLOOKUP($B53,目標タイム!$A:$B,2,FALSE),""))</f>
        <v/>
      </c>
      <c r="D53" s="4" t="n"/>
      <c r="E53" s="4">
        <f>IF(OR($C53="",$D53=""),"",$D53-$C53)</f>
        <v/>
      </c>
      <c r="F53" s="4">
        <f>IF($B53="","",COUNTIF($B$5:$B53,$B53))</f>
        <v/>
      </c>
      <c r="G53" s="3" t="n"/>
    </row>
    <row r="54">
      <c r="A54" s="8" t="n"/>
      <c r="B54" s="9" t="n"/>
      <c r="C54" s="10">
        <f>IF($B54="","",IFERROR(VLOOKUP($B54,目標タイム!$A:$B,2,FALSE),""))</f>
        <v/>
      </c>
      <c r="D54" s="10" t="n"/>
      <c r="E54" s="10">
        <f>IF(OR($C54="",$D54=""),"",$D54-$C54)</f>
        <v/>
      </c>
      <c r="F54" s="10">
        <f>IF($B54="","",COUNTIF($B$5:$B54,$B54))</f>
        <v/>
      </c>
      <c r="G54" s="9" t="n"/>
    </row>
    <row r="55">
      <c r="A55" s="7" t="n"/>
      <c r="B55" s="3" t="n"/>
      <c r="C55" s="4">
        <f>IF($B55="","",IFERROR(VLOOKUP($B55,目標タイム!$A:$B,2,FALSE),""))</f>
        <v/>
      </c>
      <c r="D55" s="4" t="n"/>
      <c r="E55" s="4">
        <f>IF(OR($C55="",$D55=""),"",$D55-$C55)</f>
        <v/>
      </c>
      <c r="F55" s="4">
        <f>IF($B55="","",COUNTIF($B$5:$B55,$B55))</f>
        <v/>
      </c>
      <c r="G55" s="3" t="n"/>
    </row>
    <row r="56">
      <c r="A56" s="8" t="n"/>
      <c r="B56" s="9" t="n"/>
      <c r="C56" s="10">
        <f>IF($B56="","",IFERROR(VLOOKUP($B56,目標タイム!$A:$B,2,FALSE),""))</f>
        <v/>
      </c>
      <c r="D56" s="10" t="n"/>
      <c r="E56" s="10">
        <f>IF(OR($C56="",$D56=""),"",$D56-$C56)</f>
        <v/>
      </c>
      <c r="F56" s="10">
        <f>IF($B56="","",COUNTIF($B$5:$B56,$B56))</f>
        <v/>
      </c>
      <c r="G56" s="9" t="n"/>
    </row>
    <row r="57">
      <c r="A57" s="7" t="n"/>
      <c r="B57" s="3" t="n"/>
      <c r="C57" s="4">
        <f>IF($B57="","",IFERROR(VLOOKUP($B57,目標タイム!$A:$B,2,FALSE),""))</f>
        <v/>
      </c>
      <c r="D57" s="4" t="n"/>
      <c r="E57" s="4">
        <f>IF(OR($C57="",$D57=""),"",$D57-$C57)</f>
        <v/>
      </c>
      <c r="F57" s="4">
        <f>IF($B57="","",COUNTIF($B$5:$B57,$B57))</f>
        <v/>
      </c>
      <c r="G57" s="3" t="n"/>
    </row>
    <row r="58">
      <c r="A58" s="8" t="n"/>
      <c r="B58" s="9" t="n"/>
      <c r="C58" s="10">
        <f>IF($B58="","",IFERROR(VLOOKUP($B58,目標タイム!$A:$B,2,FALSE),""))</f>
        <v/>
      </c>
      <c r="D58" s="10" t="n"/>
      <c r="E58" s="10">
        <f>IF(OR($C58="",$D58=""),"",$D58-$C58)</f>
        <v/>
      </c>
      <c r="F58" s="10">
        <f>IF($B58="","",COUNTIF($B$5:$B58,$B58))</f>
        <v/>
      </c>
      <c r="G58" s="9" t="n"/>
    </row>
    <row r="59">
      <c r="A59" s="7" t="n"/>
      <c r="B59" s="3" t="n"/>
      <c r="C59" s="4">
        <f>IF($B59="","",IFERROR(VLOOKUP($B59,目標タイム!$A:$B,2,FALSE),""))</f>
        <v/>
      </c>
      <c r="D59" s="4" t="n"/>
      <c r="E59" s="4">
        <f>IF(OR($C59="",$D59=""),"",$D59-$C59)</f>
        <v/>
      </c>
      <c r="F59" s="4">
        <f>IF($B59="","",COUNTIF($B$5:$B59,$B59))</f>
        <v/>
      </c>
      <c r="G59" s="3" t="n"/>
    </row>
    <row r="60">
      <c r="A60" s="8" t="n"/>
      <c r="B60" s="9" t="n"/>
      <c r="C60" s="10">
        <f>IF($B60="","",IFERROR(VLOOKUP($B60,目標タイム!$A:$B,2,FALSE),""))</f>
        <v/>
      </c>
      <c r="D60" s="10" t="n"/>
      <c r="E60" s="10">
        <f>IF(OR($C60="",$D60=""),"",$D60-$C60)</f>
        <v/>
      </c>
      <c r="F60" s="10">
        <f>IF($B60="","",COUNTIF($B$5:$B60,$B60))</f>
        <v/>
      </c>
      <c r="G60" s="9" t="n"/>
    </row>
    <row r="61">
      <c r="A61" s="7" t="n"/>
      <c r="B61" s="3" t="n"/>
      <c r="C61" s="4">
        <f>IF($B61="","",IFERROR(VLOOKUP($B61,目標タイム!$A:$B,2,FALSE),""))</f>
        <v/>
      </c>
      <c r="D61" s="4" t="n"/>
      <c r="E61" s="4">
        <f>IF(OR($C61="",$D61=""),"",$D61-$C61)</f>
        <v/>
      </c>
      <c r="F61" s="4">
        <f>IF($B61="","",COUNTIF($B$5:$B61,$B61))</f>
        <v/>
      </c>
      <c r="G61" s="3" t="n"/>
    </row>
    <row r="62">
      <c r="A62" s="8" t="n"/>
      <c r="B62" s="9" t="n"/>
      <c r="C62" s="10">
        <f>IF($B62="","",IFERROR(VLOOKUP($B62,目標タイム!$A:$B,2,FALSE),""))</f>
        <v/>
      </c>
      <c r="D62" s="10" t="n"/>
      <c r="E62" s="10">
        <f>IF(OR($C62="",$D62=""),"",$D62-$C62)</f>
        <v/>
      </c>
      <c r="F62" s="10">
        <f>IF($B62="","",COUNTIF($B$5:$B62,$B62))</f>
        <v/>
      </c>
      <c r="G62" s="9" t="n"/>
    </row>
    <row r="63">
      <c r="A63" s="7" t="n"/>
      <c r="B63" s="3" t="n"/>
      <c r="C63" s="4">
        <f>IF($B63="","",IFERROR(VLOOKUP($B63,目標タイム!$A:$B,2,FALSE),""))</f>
        <v/>
      </c>
      <c r="D63" s="4" t="n"/>
      <c r="E63" s="4">
        <f>IF(OR($C63="",$D63=""),"",$D63-$C63)</f>
        <v/>
      </c>
      <c r="F63" s="4">
        <f>IF($B63="","",COUNTIF($B$5:$B63,$B63))</f>
        <v/>
      </c>
      <c r="G63" s="3" t="n"/>
    </row>
    <row r="64">
      <c r="A64" s="8" t="n"/>
      <c r="B64" s="9" t="n"/>
      <c r="C64" s="10">
        <f>IF($B64="","",IFERROR(VLOOKUP($B64,目標タイム!$A:$B,2,FALSE),""))</f>
        <v/>
      </c>
      <c r="D64" s="10" t="n"/>
      <c r="E64" s="10">
        <f>IF(OR($C64="",$D64=""),"",$D64-$C64)</f>
        <v/>
      </c>
      <c r="F64" s="10">
        <f>IF($B64="","",COUNTIF($B$5:$B64,$B64))</f>
        <v/>
      </c>
      <c r="G64" s="9" t="n"/>
    </row>
    <row r="65">
      <c r="A65" s="7" t="n"/>
      <c r="B65" s="3" t="n"/>
      <c r="C65" s="4">
        <f>IF($B65="","",IFERROR(VLOOKUP($B65,目標タイム!$A:$B,2,FALSE),""))</f>
        <v/>
      </c>
      <c r="D65" s="4" t="n"/>
      <c r="E65" s="4">
        <f>IF(OR($C65="",$D65=""),"",$D65-$C65)</f>
        <v/>
      </c>
      <c r="F65" s="4">
        <f>IF($B65="","",COUNTIF($B$5:$B65,$B65))</f>
        <v/>
      </c>
      <c r="G65" s="3" t="n"/>
    </row>
    <row r="66">
      <c r="A66" s="8" t="n"/>
      <c r="B66" s="9" t="n"/>
      <c r="C66" s="10">
        <f>IF($B66="","",IFERROR(VLOOKUP($B66,目標タイム!$A:$B,2,FALSE),""))</f>
        <v/>
      </c>
      <c r="D66" s="10" t="n"/>
      <c r="E66" s="10">
        <f>IF(OR($C66="",$D66=""),"",$D66-$C66)</f>
        <v/>
      </c>
      <c r="F66" s="10">
        <f>IF($B66="","",COUNTIF($B$5:$B66,$B66))</f>
        <v/>
      </c>
      <c r="G66" s="9" t="n"/>
    </row>
    <row r="67">
      <c r="A67" s="7" t="n"/>
      <c r="B67" s="3" t="n"/>
      <c r="C67" s="4">
        <f>IF($B67="","",IFERROR(VLOOKUP($B67,目標タイム!$A:$B,2,FALSE),""))</f>
        <v/>
      </c>
      <c r="D67" s="4" t="n"/>
      <c r="E67" s="4">
        <f>IF(OR($C67="",$D67=""),"",$D67-$C67)</f>
        <v/>
      </c>
      <c r="F67" s="4">
        <f>IF($B67="","",COUNTIF($B$5:$B67,$B67))</f>
        <v/>
      </c>
      <c r="G67" s="3" t="n"/>
    </row>
    <row r="68">
      <c r="A68" s="8" t="n"/>
      <c r="B68" s="9" t="n"/>
      <c r="C68" s="10">
        <f>IF($B68="","",IFERROR(VLOOKUP($B68,目標タイム!$A:$B,2,FALSE),""))</f>
        <v/>
      </c>
      <c r="D68" s="10" t="n"/>
      <c r="E68" s="10">
        <f>IF(OR($C68="",$D68=""),"",$D68-$C68)</f>
        <v/>
      </c>
      <c r="F68" s="10">
        <f>IF($B68="","",COUNTIF($B$5:$B68,$B68))</f>
        <v/>
      </c>
      <c r="G68" s="9" t="n"/>
    </row>
    <row r="69">
      <c r="A69" s="7" t="n"/>
      <c r="B69" s="3" t="n"/>
      <c r="C69" s="4">
        <f>IF($B69="","",IFERROR(VLOOKUP($B69,目標タイム!$A:$B,2,FALSE),""))</f>
        <v/>
      </c>
      <c r="D69" s="4" t="n"/>
      <c r="E69" s="4">
        <f>IF(OR($C69="",$D69=""),"",$D69-$C69)</f>
        <v/>
      </c>
      <c r="F69" s="4">
        <f>IF($B69="","",COUNTIF($B$5:$B69,$B69))</f>
        <v/>
      </c>
      <c r="G69" s="3" t="n"/>
    </row>
    <row r="70">
      <c r="A70" s="8" t="n"/>
      <c r="B70" s="9" t="n"/>
      <c r="C70" s="10">
        <f>IF($B70="","",IFERROR(VLOOKUP($B70,目標タイム!$A:$B,2,FALSE),""))</f>
        <v/>
      </c>
      <c r="D70" s="10" t="n"/>
      <c r="E70" s="10">
        <f>IF(OR($C70="",$D70=""),"",$D70-$C70)</f>
        <v/>
      </c>
      <c r="F70" s="10">
        <f>IF($B70="","",COUNTIF($B$5:$B70,$B70))</f>
        <v/>
      </c>
      <c r="G70" s="9" t="n"/>
    </row>
    <row r="71">
      <c r="A71" s="7" t="n"/>
      <c r="B71" s="3" t="n"/>
      <c r="C71" s="4">
        <f>IF($B71="","",IFERROR(VLOOKUP($B71,目標タイム!$A:$B,2,FALSE),""))</f>
        <v/>
      </c>
      <c r="D71" s="4" t="n"/>
      <c r="E71" s="4">
        <f>IF(OR($C71="",$D71=""),"",$D71-$C71)</f>
        <v/>
      </c>
      <c r="F71" s="4">
        <f>IF($B71="","",COUNTIF($B$5:$B71,$B71))</f>
        <v/>
      </c>
      <c r="G71" s="3" t="n"/>
    </row>
    <row r="72">
      <c r="A72" s="8" t="n"/>
      <c r="B72" s="9" t="n"/>
      <c r="C72" s="10">
        <f>IF($B72="","",IFERROR(VLOOKUP($B72,目標タイム!$A:$B,2,FALSE),""))</f>
        <v/>
      </c>
      <c r="D72" s="10" t="n"/>
      <c r="E72" s="10">
        <f>IF(OR($C72="",$D72=""),"",$D72-$C72)</f>
        <v/>
      </c>
      <c r="F72" s="10">
        <f>IF($B72="","",COUNTIF($B$5:$B72,$B72))</f>
        <v/>
      </c>
      <c r="G72" s="9" t="n"/>
    </row>
    <row r="73">
      <c r="A73" s="7" t="n"/>
      <c r="B73" s="3" t="n"/>
      <c r="C73" s="4">
        <f>IF($B73="","",IFERROR(VLOOKUP($B73,目標タイム!$A:$B,2,FALSE),""))</f>
        <v/>
      </c>
      <c r="D73" s="4" t="n"/>
      <c r="E73" s="4">
        <f>IF(OR($C73="",$D73=""),"",$D73-$C73)</f>
        <v/>
      </c>
      <c r="F73" s="4">
        <f>IF($B73="","",COUNTIF($B$5:$B73,$B73))</f>
        <v/>
      </c>
      <c r="G73" s="3" t="n"/>
    </row>
    <row r="74">
      <c r="A74" s="8" t="n"/>
      <c r="B74" s="9" t="n"/>
      <c r="C74" s="10">
        <f>IF($B74="","",IFERROR(VLOOKUP($B74,目標タイム!$A:$B,2,FALSE),""))</f>
        <v/>
      </c>
      <c r="D74" s="10" t="n"/>
      <c r="E74" s="10">
        <f>IF(OR($C74="",$D74=""),"",$D74-$C74)</f>
        <v/>
      </c>
      <c r="F74" s="10">
        <f>IF($B74="","",COUNTIF($B$5:$B74,$B74))</f>
        <v/>
      </c>
      <c r="G74" s="9" t="n"/>
    </row>
    <row r="75">
      <c r="A75" s="7" t="n"/>
      <c r="B75" s="3" t="n"/>
      <c r="C75" s="4">
        <f>IF($B75="","",IFERROR(VLOOKUP($B75,目標タイム!$A:$B,2,FALSE),""))</f>
        <v/>
      </c>
      <c r="D75" s="4" t="n"/>
      <c r="E75" s="4">
        <f>IF(OR($C75="",$D75=""),"",$D75-$C75)</f>
        <v/>
      </c>
      <c r="F75" s="4">
        <f>IF($B75="","",COUNTIF($B$5:$B75,$B75))</f>
        <v/>
      </c>
      <c r="G75" s="3" t="n"/>
    </row>
    <row r="76">
      <c r="A76" s="8" t="n"/>
      <c r="B76" s="9" t="n"/>
      <c r="C76" s="10">
        <f>IF($B76="","",IFERROR(VLOOKUP($B76,目標タイム!$A:$B,2,FALSE),""))</f>
        <v/>
      </c>
      <c r="D76" s="10" t="n"/>
      <c r="E76" s="10">
        <f>IF(OR($C76="",$D76=""),"",$D76-$C76)</f>
        <v/>
      </c>
      <c r="F76" s="10">
        <f>IF($B76="","",COUNTIF($B$5:$B76,$B76))</f>
        <v/>
      </c>
      <c r="G76" s="9" t="n"/>
    </row>
    <row r="77">
      <c r="A77" s="7" t="n"/>
      <c r="B77" s="3" t="n"/>
      <c r="C77" s="4">
        <f>IF($B77="","",IFERROR(VLOOKUP($B77,目標タイム!$A:$B,2,FALSE),""))</f>
        <v/>
      </c>
      <c r="D77" s="4" t="n"/>
      <c r="E77" s="4">
        <f>IF(OR($C77="",$D77=""),"",$D77-$C77)</f>
        <v/>
      </c>
      <c r="F77" s="4">
        <f>IF($B77="","",COUNTIF($B$5:$B77,$B77))</f>
        <v/>
      </c>
      <c r="G77" s="3" t="n"/>
    </row>
    <row r="78">
      <c r="A78" s="8" t="n"/>
      <c r="B78" s="9" t="n"/>
      <c r="C78" s="10">
        <f>IF($B78="","",IFERROR(VLOOKUP($B78,目標タイム!$A:$B,2,FALSE),""))</f>
        <v/>
      </c>
      <c r="D78" s="10" t="n"/>
      <c r="E78" s="10">
        <f>IF(OR($C78="",$D78=""),"",$D78-$C78)</f>
        <v/>
      </c>
      <c r="F78" s="10">
        <f>IF($B78="","",COUNTIF($B$5:$B78,$B78))</f>
        <v/>
      </c>
      <c r="G78" s="9" t="n"/>
    </row>
    <row r="79">
      <c r="A79" s="7" t="n"/>
      <c r="B79" s="3" t="n"/>
      <c r="C79" s="4">
        <f>IF($B79="","",IFERROR(VLOOKUP($B79,目標タイム!$A:$B,2,FALSE),""))</f>
        <v/>
      </c>
      <c r="D79" s="4" t="n"/>
      <c r="E79" s="4">
        <f>IF(OR($C79="",$D79=""),"",$D79-$C79)</f>
        <v/>
      </c>
      <c r="F79" s="4">
        <f>IF($B79="","",COUNTIF($B$5:$B79,$B79))</f>
        <v/>
      </c>
      <c r="G79" s="3" t="n"/>
    </row>
    <row r="80">
      <c r="A80" s="8" t="n"/>
      <c r="B80" s="9" t="n"/>
      <c r="C80" s="10">
        <f>IF($B80="","",IFERROR(VLOOKUP($B80,目標タイム!$A:$B,2,FALSE),""))</f>
        <v/>
      </c>
      <c r="D80" s="10" t="n"/>
      <c r="E80" s="10">
        <f>IF(OR($C80="",$D80=""),"",$D80-$C80)</f>
        <v/>
      </c>
      <c r="F80" s="10">
        <f>IF($B80="","",COUNTIF($B$5:$B80,$B80))</f>
        <v/>
      </c>
      <c r="G80" s="9" t="n"/>
    </row>
    <row r="81">
      <c r="A81" s="7" t="n"/>
      <c r="B81" s="3" t="n"/>
      <c r="C81" s="4">
        <f>IF($B81="","",IFERROR(VLOOKUP($B81,目標タイム!$A:$B,2,FALSE),""))</f>
        <v/>
      </c>
      <c r="D81" s="4" t="n"/>
      <c r="E81" s="4">
        <f>IF(OR($C81="",$D81=""),"",$D81-$C81)</f>
        <v/>
      </c>
      <c r="F81" s="4">
        <f>IF($B81="","",COUNTIF($B$5:$B81,$B81))</f>
        <v/>
      </c>
      <c r="G81" s="3" t="n"/>
    </row>
    <row r="82">
      <c r="A82" s="8" t="n"/>
      <c r="B82" s="9" t="n"/>
      <c r="C82" s="10">
        <f>IF($B82="","",IFERROR(VLOOKUP($B82,目標タイム!$A:$B,2,FALSE),""))</f>
        <v/>
      </c>
      <c r="D82" s="10" t="n"/>
      <c r="E82" s="10">
        <f>IF(OR($C82="",$D82=""),"",$D82-$C82)</f>
        <v/>
      </c>
      <c r="F82" s="10">
        <f>IF($B82="","",COUNTIF($B$5:$B82,$B82))</f>
        <v/>
      </c>
      <c r="G82" s="9" t="n"/>
    </row>
    <row r="83">
      <c r="A83" s="7" t="n"/>
      <c r="B83" s="3" t="n"/>
      <c r="C83" s="4">
        <f>IF($B83="","",IFERROR(VLOOKUP($B83,目標タイム!$A:$B,2,FALSE),""))</f>
        <v/>
      </c>
      <c r="D83" s="4" t="n"/>
      <c r="E83" s="4">
        <f>IF(OR($C83="",$D83=""),"",$D83-$C83)</f>
        <v/>
      </c>
      <c r="F83" s="4">
        <f>IF($B83="","",COUNTIF($B$5:$B83,$B83))</f>
        <v/>
      </c>
      <c r="G83" s="3" t="n"/>
    </row>
    <row r="84">
      <c r="A84" s="8" t="n"/>
      <c r="B84" s="9" t="n"/>
      <c r="C84" s="10">
        <f>IF($B84="","",IFERROR(VLOOKUP($B84,目標タイム!$A:$B,2,FALSE),""))</f>
        <v/>
      </c>
      <c r="D84" s="10" t="n"/>
      <c r="E84" s="10">
        <f>IF(OR($C84="",$D84=""),"",$D84-$C84)</f>
        <v/>
      </c>
      <c r="F84" s="10">
        <f>IF($B84="","",COUNTIF($B$5:$B84,$B84))</f>
        <v/>
      </c>
      <c r="G84" s="9" t="n"/>
    </row>
    <row r="85">
      <c r="A85" s="7" t="n"/>
      <c r="B85" s="3" t="n"/>
      <c r="C85" s="4">
        <f>IF($B85="","",IFERROR(VLOOKUP($B85,目標タイム!$A:$B,2,FALSE),""))</f>
        <v/>
      </c>
      <c r="D85" s="4" t="n"/>
      <c r="E85" s="4">
        <f>IF(OR($C85="",$D85=""),"",$D85-$C85)</f>
        <v/>
      </c>
      <c r="F85" s="4">
        <f>IF($B85="","",COUNTIF($B$5:$B85,$B85))</f>
        <v/>
      </c>
      <c r="G85" s="3" t="n"/>
    </row>
    <row r="86">
      <c r="A86" s="8" t="n"/>
      <c r="B86" s="9" t="n"/>
      <c r="C86" s="10">
        <f>IF($B86="","",IFERROR(VLOOKUP($B86,目標タイム!$A:$B,2,FALSE),""))</f>
        <v/>
      </c>
      <c r="D86" s="10" t="n"/>
      <c r="E86" s="10">
        <f>IF(OR($C86="",$D86=""),"",$D86-$C86)</f>
        <v/>
      </c>
      <c r="F86" s="10">
        <f>IF($B86="","",COUNTIF($B$5:$B86,$B86))</f>
        <v/>
      </c>
      <c r="G86" s="9" t="n"/>
    </row>
    <row r="87">
      <c r="A87" s="7" t="n"/>
      <c r="B87" s="3" t="n"/>
      <c r="C87" s="4">
        <f>IF($B87="","",IFERROR(VLOOKUP($B87,目標タイム!$A:$B,2,FALSE),""))</f>
        <v/>
      </c>
      <c r="D87" s="4" t="n"/>
      <c r="E87" s="4">
        <f>IF(OR($C87="",$D87=""),"",$D87-$C87)</f>
        <v/>
      </c>
      <c r="F87" s="4">
        <f>IF($B87="","",COUNTIF($B$5:$B87,$B87))</f>
        <v/>
      </c>
      <c r="G87" s="3" t="n"/>
    </row>
    <row r="88">
      <c r="A88" s="8" t="n"/>
      <c r="B88" s="9" t="n"/>
      <c r="C88" s="10">
        <f>IF($B88="","",IFERROR(VLOOKUP($B88,目標タイム!$A:$B,2,FALSE),""))</f>
        <v/>
      </c>
      <c r="D88" s="10" t="n"/>
      <c r="E88" s="10">
        <f>IF(OR($C88="",$D88=""),"",$D88-$C88)</f>
        <v/>
      </c>
      <c r="F88" s="10">
        <f>IF($B88="","",COUNTIF($B$5:$B88,$B88))</f>
        <v/>
      </c>
      <c r="G88" s="9" t="n"/>
    </row>
    <row r="89">
      <c r="A89" s="7" t="n"/>
      <c r="B89" s="3" t="n"/>
      <c r="C89" s="4">
        <f>IF($B89="","",IFERROR(VLOOKUP($B89,目標タイム!$A:$B,2,FALSE),""))</f>
        <v/>
      </c>
      <c r="D89" s="4" t="n"/>
      <c r="E89" s="4">
        <f>IF(OR($C89="",$D89=""),"",$D89-$C89)</f>
        <v/>
      </c>
      <c r="F89" s="4">
        <f>IF($B89="","",COUNTIF($B$5:$B89,$B89))</f>
        <v/>
      </c>
      <c r="G89" s="3" t="n"/>
    </row>
    <row r="90">
      <c r="A90" s="8" t="n"/>
      <c r="B90" s="9" t="n"/>
      <c r="C90" s="10">
        <f>IF($B90="","",IFERROR(VLOOKUP($B90,目標タイム!$A:$B,2,FALSE),""))</f>
        <v/>
      </c>
      <c r="D90" s="10" t="n"/>
      <c r="E90" s="10">
        <f>IF(OR($C90="",$D90=""),"",$D90-$C90)</f>
        <v/>
      </c>
      <c r="F90" s="10">
        <f>IF($B90="","",COUNTIF($B$5:$B90,$B90))</f>
        <v/>
      </c>
      <c r="G90" s="9" t="n"/>
    </row>
    <row r="91">
      <c r="A91" s="7" t="n"/>
      <c r="B91" s="3" t="n"/>
      <c r="C91" s="4">
        <f>IF($B91="","",IFERROR(VLOOKUP($B91,目標タイム!$A:$B,2,FALSE),""))</f>
        <v/>
      </c>
      <c r="D91" s="4" t="n"/>
      <c r="E91" s="4">
        <f>IF(OR($C91="",$D91=""),"",$D91-$C91)</f>
        <v/>
      </c>
      <c r="F91" s="4">
        <f>IF($B91="","",COUNTIF($B$5:$B91,$B91))</f>
        <v/>
      </c>
      <c r="G91" s="3" t="n"/>
    </row>
    <row r="92">
      <c r="A92" s="8" t="n"/>
      <c r="B92" s="9" t="n"/>
      <c r="C92" s="10">
        <f>IF($B92="","",IFERROR(VLOOKUP($B92,目標タイム!$A:$B,2,FALSE),""))</f>
        <v/>
      </c>
      <c r="D92" s="10" t="n"/>
      <c r="E92" s="10">
        <f>IF(OR($C92="",$D92=""),"",$D92-$C92)</f>
        <v/>
      </c>
      <c r="F92" s="10">
        <f>IF($B92="","",COUNTIF($B$5:$B92,$B92))</f>
        <v/>
      </c>
      <c r="G92" s="9" t="n"/>
    </row>
    <row r="93">
      <c r="A93" s="7" t="n"/>
      <c r="B93" s="3" t="n"/>
      <c r="C93" s="4">
        <f>IF($B93="","",IFERROR(VLOOKUP($B93,目標タイム!$A:$B,2,FALSE),""))</f>
        <v/>
      </c>
      <c r="D93" s="4" t="n"/>
      <c r="E93" s="4">
        <f>IF(OR($C93="",$D93=""),"",$D93-$C93)</f>
        <v/>
      </c>
      <c r="F93" s="4">
        <f>IF($B93="","",COUNTIF($B$5:$B93,$B93))</f>
        <v/>
      </c>
      <c r="G93" s="3" t="n"/>
    </row>
    <row r="94">
      <c r="A94" s="8" t="n"/>
      <c r="B94" s="9" t="n"/>
      <c r="C94" s="10">
        <f>IF($B94="","",IFERROR(VLOOKUP($B94,目標タイム!$A:$B,2,FALSE),""))</f>
        <v/>
      </c>
      <c r="D94" s="10" t="n"/>
      <c r="E94" s="10">
        <f>IF(OR($C94="",$D94=""),"",$D94-$C94)</f>
        <v/>
      </c>
      <c r="F94" s="10">
        <f>IF($B94="","",COUNTIF($B$5:$B94,$B94))</f>
        <v/>
      </c>
      <c r="G94" s="9" t="n"/>
    </row>
    <row r="95">
      <c r="A95" s="7" t="n"/>
      <c r="B95" s="3" t="n"/>
      <c r="C95" s="4">
        <f>IF($B95="","",IFERROR(VLOOKUP($B95,目標タイム!$A:$B,2,FALSE),""))</f>
        <v/>
      </c>
      <c r="D95" s="4" t="n"/>
      <c r="E95" s="4">
        <f>IF(OR($C95="",$D95=""),"",$D95-$C95)</f>
        <v/>
      </c>
      <c r="F95" s="4">
        <f>IF($B95="","",COUNTIF($B$5:$B95,$B95))</f>
        <v/>
      </c>
      <c r="G95" s="3" t="n"/>
    </row>
    <row r="96">
      <c r="A96" s="8" t="n"/>
      <c r="B96" s="9" t="n"/>
      <c r="C96" s="10">
        <f>IF($B96="","",IFERROR(VLOOKUP($B96,目標タイム!$A:$B,2,FALSE),""))</f>
        <v/>
      </c>
      <c r="D96" s="10" t="n"/>
      <c r="E96" s="10">
        <f>IF(OR($C96="",$D96=""),"",$D96-$C96)</f>
        <v/>
      </c>
      <c r="F96" s="10">
        <f>IF($B96="","",COUNTIF($B$5:$B96,$B96))</f>
        <v/>
      </c>
      <c r="G96" s="9" t="n"/>
    </row>
    <row r="97">
      <c r="A97" s="7" t="n"/>
      <c r="B97" s="3" t="n"/>
      <c r="C97" s="4">
        <f>IF($B97="","",IFERROR(VLOOKUP($B97,目標タイム!$A:$B,2,FALSE),""))</f>
        <v/>
      </c>
      <c r="D97" s="4" t="n"/>
      <c r="E97" s="4">
        <f>IF(OR($C97="",$D97=""),"",$D97-$C97)</f>
        <v/>
      </c>
      <c r="F97" s="4">
        <f>IF($B97="","",COUNTIF($B$5:$B97,$B97))</f>
        <v/>
      </c>
      <c r="G97" s="3" t="n"/>
    </row>
    <row r="98">
      <c r="A98" s="8" t="n"/>
      <c r="B98" s="9" t="n"/>
      <c r="C98" s="10">
        <f>IF($B98="","",IFERROR(VLOOKUP($B98,目標タイム!$A:$B,2,FALSE),""))</f>
        <v/>
      </c>
      <c r="D98" s="10" t="n"/>
      <c r="E98" s="10">
        <f>IF(OR($C98="",$D98=""),"",$D98-$C98)</f>
        <v/>
      </c>
      <c r="F98" s="10">
        <f>IF($B98="","",COUNTIF($B$5:$B98,$B98))</f>
        <v/>
      </c>
      <c r="G98" s="9" t="n"/>
    </row>
    <row r="99">
      <c r="A99" s="7" t="n"/>
      <c r="B99" s="3" t="n"/>
      <c r="C99" s="4">
        <f>IF($B99="","",IFERROR(VLOOKUP($B99,目標タイム!$A:$B,2,FALSE),""))</f>
        <v/>
      </c>
      <c r="D99" s="4" t="n"/>
      <c r="E99" s="4">
        <f>IF(OR($C99="",$D99=""),"",$D99-$C99)</f>
        <v/>
      </c>
      <c r="F99" s="4">
        <f>IF($B99="","",COUNTIF($B$5:$B99,$B99))</f>
        <v/>
      </c>
      <c r="G99" s="3" t="n"/>
    </row>
    <row r="100">
      <c r="A100" s="8" t="n"/>
      <c r="B100" s="9" t="n"/>
      <c r="C100" s="10">
        <f>IF($B100="","",IFERROR(VLOOKUP($B100,目標タイム!$A:$B,2,FALSE),""))</f>
        <v/>
      </c>
      <c r="D100" s="10" t="n"/>
      <c r="E100" s="10">
        <f>IF(OR($C100="",$D100=""),"",$D100-$C100)</f>
        <v/>
      </c>
      <c r="F100" s="10">
        <f>IF($B100="","",COUNTIF($B$5:$B100,$B100))</f>
        <v/>
      </c>
      <c r="G100" s="9" t="n"/>
    </row>
    <row r="101">
      <c r="A101" s="7" t="n"/>
      <c r="B101" s="3" t="n"/>
      <c r="C101" s="4">
        <f>IF($B101="","",IFERROR(VLOOKUP($B101,目標タイム!$A:$B,2,FALSE),""))</f>
        <v/>
      </c>
      <c r="D101" s="4" t="n"/>
      <c r="E101" s="4">
        <f>IF(OR($C101="",$D101=""),"",$D101-$C101)</f>
        <v/>
      </c>
      <c r="F101" s="4">
        <f>IF($B101="","",COUNTIF($B$5:$B101,$B101))</f>
        <v/>
      </c>
      <c r="G101" s="3" t="n"/>
    </row>
    <row r="102">
      <c r="A102" s="8" t="n"/>
      <c r="B102" s="9" t="n"/>
      <c r="C102" s="10">
        <f>IF($B102="","",IFERROR(VLOOKUP($B102,目標タイム!$A:$B,2,FALSE),""))</f>
        <v/>
      </c>
      <c r="D102" s="10" t="n"/>
      <c r="E102" s="10">
        <f>IF(OR($C102="",$D102=""),"",$D102-$C102)</f>
        <v/>
      </c>
      <c r="F102" s="10">
        <f>IF($B102="","",COUNTIF($B$5:$B102,$B102))</f>
        <v/>
      </c>
      <c r="G102" s="9" t="n"/>
    </row>
    <row r="103">
      <c r="A103" s="7" t="n"/>
      <c r="B103" s="3" t="n"/>
      <c r="C103" s="4">
        <f>IF($B103="","",IFERROR(VLOOKUP($B103,目標タイム!$A:$B,2,FALSE),""))</f>
        <v/>
      </c>
      <c r="D103" s="4" t="n"/>
      <c r="E103" s="4">
        <f>IF(OR($C103="",$D103=""),"",$D103-$C103)</f>
        <v/>
      </c>
      <c r="F103" s="4">
        <f>IF($B103="","",COUNTIF($B$5:$B103,$B103))</f>
        <v/>
      </c>
      <c r="G103" s="3" t="n"/>
    </row>
    <row r="104">
      <c r="A104" s="8" t="n"/>
      <c r="B104" s="9" t="n"/>
      <c r="C104" s="10">
        <f>IF($B104="","",IFERROR(VLOOKUP($B104,目標タイム!$A:$B,2,FALSE),""))</f>
        <v/>
      </c>
      <c r="D104" s="10" t="n"/>
      <c r="E104" s="10">
        <f>IF(OR($C104="",$D104=""),"",$D104-$C104)</f>
        <v/>
      </c>
      <c r="F104" s="10">
        <f>IF($B104="","",COUNTIF($B$5:$B104,$B104))</f>
        <v/>
      </c>
      <c r="G104" s="9" t="n"/>
    </row>
    <row r="105">
      <c r="A105" s="7" t="n"/>
      <c r="B105" s="3" t="n"/>
      <c r="C105" s="4">
        <f>IF($B105="","",IFERROR(VLOOKUP($B105,目標タイム!$A:$B,2,FALSE),""))</f>
        <v/>
      </c>
      <c r="D105" s="4" t="n"/>
      <c r="E105" s="4">
        <f>IF(OR($C105="",$D105=""),"",$D105-$C105)</f>
        <v/>
      </c>
      <c r="F105" s="4">
        <f>IF($B105="","",COUNTIF($B$5:$B105,$B105))</f>
        <v/>
      </c>
      <c r="G105" s="3" t="n"/>
    </row>
    <row r="106">
      <c r="A106" s="8" t="n"/>
      <c r="B106" s="9" t="n"/>
      <c r="C106" s="10">
        <f>IF($B106="","",IFERROR(VLOOKUP($B106,目標タイム!$A:$B,2,FALSE),""))</f>
        <v/>
      </c>
      <c r="D106" s="10" t="n"/>
      <c r="E106" s="10">
        <f>IF(OR($C106="",$D106=""),"",$D106-$C106)</f>
        <v/>
      </c>
      <c r="F106" s="10">
        <f>IF($B106="","",COUNTIF($B$5:$B106,$B106))</f>
        <v/>
      </c>
      <c r="G106" s="9" t="n"/>
    </row>
    <row r="107">
      <c r="A107" s="7" t="n"/>
      <c r="B107" s="3" t="n"/>
      <c r="C107" s="4">
        <f>IF($B107="","",IFERROR(VLOOKUP($B107,目標タイム!$A:$B,2,FALSE),""))</f>
        <v/>
      </c>
      <c r="D107" s="4" t="n"/>
      <c r="E107" s="4">
        <f>IF(OR($C107="",$D107=""),"",$D107-$C107)</f>
        <v/>
      </c>
      <c r="F107" s="4">
        <f>IF($B107="","",COUNTIF($B$5:$B107,$B107))</f>
        <v/>
      </c>
      <c r="G107" s="3" t="n"/>
    </row>
    <row r="108">
      <c r="A108" s="8" t="n"/>
      <c r="B108" s="9" t="n"/>
      <c r="C108" s="10">
        <f>IF($B108="","",IFERROR(VLOOKUP($B108,目標タイム!$A:$B,2,FALSE),""))</f>
        <v/>
      </c>
      <c r="D108" s="10" t="n"/>
      <c r="E108" s="10">
        <f>IF(OR($C108="",$D108=""),"",$D108-$C108)</f>
        <v/>
      </c>
      <c r="F108" s="10">
        <f>IF($B108="","",COUNTIF($B$5:$B108,$B108))</f>
        <v/>
      </c>
      <c r="G108" s="9" t="n"/>
    </row>
    <row r="109">
      <c r="A109" s="7" t="n"/>
      <c r="B109" s="3" t="n"/>
      <c r="C109" s="4">
        <f>IF($B109="","",IFERROR(VLOOKUP($B109,目標タイム!$A:$B,2,FALSE),""))</f>
        <v/>
      </c>
      <c r="D109" s="4" t="n"/>
      <c r="E109" s="4">
        <f>IF(OR($C109="",$D109=""),"",$D109-$C109)</f>
        <v/>
      </c>
      <c r="F109" s="4">
        <f>IF($B109="","",COUNTIF($B$5:$B109,$B109))</f>
        <v/>
      </c>
      <c r="G109" s="3" t="n"/>
    </row>
    <row r="110">
      <c r="A110" s="8" t="n"/>
      <c r="B110" s="9" t="n"/>
      <c r="C110" s="10">
        <f>IF($B110="","",IFERROR(VLOOKUP($B110,目標タイム!$A:$B,2,FALSE),""))</f>
        <v/>
      </c>
      <c r="D110" s="10" t="n"/>
      <c r="E110" s="10">
        <f>IF(OR($C110="",$D110=""),"",$D110-$C110)</f>
        <v/>
      </c>
      <c r="F110" s="10">
        <f>IF($B110="","",COUNTIF($B$5:$B110,$B110))</f>
        <v/>
      </c>
      <c r="G110" s="9" t="n"/>
    </row>
    <row r="111">
      <c r="A111" s="7" t="n"/>
      <c r="B111" s="3" t="n"/>
      <c r="C111" s="4">
        <f>IF($B111="","",IFERROR(VLOOKUP($B111,目標タイム!$A:$B,2,FALSE),""))</f>
        <v/>
      </c>
      <c r="D111" s="4" t="n"/>
      <c r="E111" s="4">
        <f>IF(OR($C111="",$D111=""),"",$D111-$C111)</f>
        <v/>
      </c>
      <c r="F111" s="4">
        <f>IF($B111="","",COUNTIF($B$5:$B111,$B111))</f>
        <v/>
      </c>
      <c r="G111" s="3" t="n"/>
    </row>
    <row r="112">
      <c r="A112" s="8" t="n"/>
      <c r="B112" s="9" t="n"/>
      <c r="C112" s="10">
        <f>IF($B112="","",IFERROR(VLOOKUP($B112,目標タイム!$A:$B,2,FALSE),""))</f>
        <v/>
      </c>
      <c r="D112" s="10" t="n"/>
      <c r="E112" s="10">
        <f>IF(OR($C112="",$D112=""),"",$D112-$C112)</f>
        <v/>
      </c>
      <c r="F112" s="10">
        <f>IF($B112="","",COUNTIF($B$5:$B112,$B112))</f>
        <v/>
      </c>
      <c r="G112" s="9" t="n"/>
    </row>
    <row r="113">
      <c r="A113" s="7" t="n"/>
      <c r="B113" s="3" t="n"/>
      <c r="C113" s="4">
        <f>IF($B113="","",IFERROR(VLOOKUP($B113,目標タイム!$A:$B,2,FALSE),""))</f>
        <v/>
      </c>
      <c r="D113" s="4" t="n"/>
      <c r="E113" s="4">
        <f>IF(OR($C113="",$D113=""),"",$D113-$C113)</f>
        <v/>
      </c>
      <c r="F113" s="4">
        <f>IF($B113="","",COUNTIF($B$5:$B113,$B113))</f>
        <v/>
      </c>
      <c r="G113" s="3" t="n"/>
    </row>
    <row r="114">
      <c r="A114" s="8" t="n"/>
      <c r="B114" s="9" t="n"/>
      <c r="C114" s="10">
        <f>IF($B114="","",IFERROR(VLOOKUP($B114,目標タイム!$A:$B,2,FALSE),""))</f>
        <v/>
      </c>
      <c r="D114" s="10" t="n"/>
      <c r="E114" s="10">
        <f>IF(OR($C114="",$D114=""),"",$D114-$C114)</f>
        <v/>
      </c>
      <c r="F114" s="10">
        <f>IF($B114="","",COUNTIF($B$5:$B114,$B114))</f>
        <v/>
      </c>
      <c r="G114" s="9" t="n"/>
    </row>
    <row r="115">
      <c r="A115" s="7" t="n"/>
      <c r="B115" s="3" t="n"/>
      <c r="C115" s="4">
        <f>IF($B115="","",IFERROR(VLOOKUP($B115,目標タイム!$A:$B,2,FALSE),""))</f>
        <v/>
      </c>
      <c r="D115" s="4" t="n"/>
      <c r="E115" s="4">
        <f>IF(OR($C115="",$D115=""),"",$D115-$C115)</f>
        <v/>
      </c>
      <c r="F115" s="4">
        <f>IF($B115="","",COUNTIF($B$5:$B115,$B115))</f>
        <v/>
      </c>
      <c r="G115" s="3" t="n"/>
    </row>
    <row r="116">
      <c r="A116" s="8" t="n"/>
      <c r="B116" s="9" t="n"/>
      <c r="C116" s="10">
        <f>IF($B116="","",IFERROR(VLOOKUP($B116,目標タイム!$A:$B,2,FALSE),""))</f>
        <v/>
      </c>
      <c r="D116" s="10" t="n"/>
      <c r="E116" s="10">
        <f>IF(OR($C116="",$D116=""),"",$D116-$C116)</f>
        <v/>
      </c>
      <c r="F116" s="10">
        <f>IF($B116="","",COUNTIF($B$5:$B116,$B116))</f>
        <v/>
      </c>
      <c r="G116" s="9" t="n"/>
    </row>
    <row r="117">
      <c r="A117" s="7" t="n"/>
      <c r="B117" s="3" t="n"/>
      <c r="C117" s="4">
        <f>IF($B117="","",IFERROR(VLOOKUP($B117,目標タイム!$A:$B,2,FALSE),""))</f>
        <v/>
      </c>
      <c r="D117" s="4" t="n"/>
      <c r="E117" s="4">
        <f>IF(OR($C117="",$D117=""),"",$D117-$C117)</f>
        <v/>
      </c>
      <c r="F117" s="4">
        <f>IF($B117="","",COUNTIF($B$5:$B117,$B117))</f>
        <v/>
      </c>
      <c r="G117" s="3" t="n"/>
    </row>
    <row r="118">
      <c r="A118" s="8" t="n"/>
      <c r="B118" s="9" t="n"/>
      <c r="C118" s="10">
        <f>IF($B118="","",IFERROR(VLOOKUP($B118,目標タイム!$A:$B,2,FALSE),""))</f>
        <v/>
      </c>
      <c r="D118" s="10" t="n"/>
      <c r="E118" s="10">
        <f>IF(OR($C118="",$D118=""),"",$D118-$C118)</f>
        <v/>
      </c>
      <c r="F118" s="10">
        <f>IF($B118="","",COUNTIF($B$5:$B118,$B118))</f>
        <v/>
      </c>
      <c r="G118" s="9" t="n"/>
    </row>
    <row r="119">
      <c r="A119" s="7" t="n"/>
      <c r="B119" s="3" t="n"/>
      <c r="C119" s="4">
        <f>IF($B119="","",IFERROR(VLOOKUP($B119,目標タイム!$A:$B,2,FALSE),""))</f>
        <v/>
      </c>
      <c r="D119" s="4" t="n"/>
      <c r="E119" s="4">
        <f>IF(OR($C119="",$D119=""),"",$D119-$C119)</f>
        <v/>
      </c>
      <c r="F119" s="4">
        <f>IF($B119="","",COUNTIF($B$5:$B119,$B119))</f>
        <v/>
      </c>
      <c r="G119" s="3" t="n"/>
    </row>
    <row r="120">
      <c r="A120" s="8" t="n"/>
      <c r="B120" s="9" t="n"/>
      <c r="C120" s="10">
        <f>IF($B120="","",IFERROR(VLOOKUP($B120,目標タイム!$A:$B,2,FALSE),""))</f>
        <v/>
      </c>
      <c r="D120" s="10" t="n"/>
      <c r="E120" s="10">
        <f>IF(OR($C120="",$D120=""),"",$D120-$C120)</f>
        <v/>
      </c>
      <c r="F120" s="10">
        <f>IF($B120="","",COUNTIF($B$5:$B120,$B120))</f>
        <v/>
      </c>
      <c r="G120" s="9" t="n"/>
    </row>
    <row r="121">
      <c r="A121" s="7" t="n"/>
      <c r="B121" s="3" t="n"/>
      <c r="C121" s="4">
        <f>IF($B121="","",IFERROR(VLOOKUP($B121,目標タイム!$A:$B,2,FALSE),""))</f>
        <v/>
      </c>
      <c r="D121" s="4" t="n"/>
      <c r="E121" s="4">
        <f>IF(OR($C121="",$D121=""),"",$D121-$C121)</f>
        <v/>
      </c>
      <c r="F121" s="4">
        <f>IF($B121="","",COUNTIF($B$5:$B121,$B121))</f>
        <v/>
      </c>
      <c r="G121" s="3" t="n"/>
    </row>
    <row r="122">
      <c r="A122" s="8" t="n"/>
      <c r="B122" s="9" t="n"/>
      <c r="C122" s="10">
        <f>IF($B122="","",IFERROR(VLOOKUP($B122,目標タイム!$A:$B,2,FALSE),""))</f>
        <v/>
      </c>
      <c r="D122" s="10" t="n"/>
      <c r="E122" s="10">
        <f>IF(OR($C122="",$D122=""),"",$D122-$C122)</f>
        <v/>
      </c>
      <c r="F122" s="10">
        <f>IF($B122="","",COUNTIF($B$5:$B122,$B122))</f>
        <v/>
      </c>
      <c r="G122" s="9" t="n"/>
    </row>
    <row r="123">
      <c r="A123" s="7" t="n"/>
      <c r="B123" s="3" t="n"/>
      <c r="C123" s="4">
        <f>IF($B123="","",IFERROR(VLOOKUP($B123,目標タイム!$A:$B,2,FALSE),""))</f>
        <v/>
      </c>
      <c r="D123" s="4" t="n"/>
      <c r="E123" s="4">
        <f>IF(OR($C123="",$D123=""),"",$D123-$C123)</f>
        <v/>
      </c>
      <c r="F123" s="4">
        <f>IF($B123="","",COUNTIF($B$5:$B123,$B123))</f>
        <v/>
      </c>
      <c r="G123" s="3" t="n"/>
    </row>
    <row r="124">
      <c r="A124" s="8" t="n"/>
      <c r="B124" s="9" t="n"/>
      <c r="C124" s="10">
        <f>IF($B124="","",IFERROR(VLOOKUP($B124,目標タイム!$A:$B,2,FALSE),""))</f>
        <v/>
      </c>
      <c r="D124" s="10" t="n"/>
      <c r="E124" s="10">
        <f>IF(OR($C124="",$D124=""),"",$D124-$C124)</f>
        <v/>
      </c>
      <c r="F124" s="10">
        <f>IF($B124="","",COUNTIF($B$5:$B124,$B124))</f>
        <v/>
      </c>
      <c r="G124" s="9" t="n"/>
    </row>
    <row r="125">
      <c r="A125" s="7" t="n"/>
      <c r="B125" s="3" t="n"/>
      <c r="C125" s="4">
        <f>IF($B125="","",IFERROR(VLOOKUP($B125,目標タイム!$A:$B,2,FALSE),""))</f>
        <v/>
      </c>
      <c r="D125" s="4" t="n"/>
      <c r="E125" s="4">
        <f>IF(OR($C125="",$D125=""),"",$D125-$C125)</f>
        <v/>
      </c>
      <c r="F125" s="4">
        <f>IF($B125="","",COUNTIF($B$5:$B125,$B125))</f>
        <v/>
      </c>
      <c r="G125" s="3" t="n"/>
    </row>
    <row r="126">
      <c r="A126" s="8" t="n"/>
      <c r="B126" s="9" t="n"/>
      <c r="C126" s="10">
        <f>IF($B126="","",IFERROR(VLOOKUP($B126,目標タイム!$A:$B,2,FALSE),""))</f>
        <v/>
      </c>
      <c r="D126" s="10" t="n"/>
      <c r="E126" s="10">
        <f>IF(OR($C126="",$D126=""),"",$D126-$C126)</f>
        <v/>
      </c>
      <c r="F126" s="10">
        <f>IF($B126="","",COUNTIF($B$5:$B126,$B126))</f>
        <v/>
      </c>
      <c r="G126" s="9" t="n"/>
    </row>
    <row r="127">
      <c r="A127" s="7" t="n"/>
      <c r="B127" s="3" t="n"/>
      <c r="C127" s="4">
        <f>IF($B127="","",IFERROR(VLOOKUP($B127,目標タイム!$A:$B,2,FALSE),""))</f>
        <v/>
      </c>
      <c r="D127" s="4" t="n"/>
      <c r="E127" s="4">
        <f>IF(OR($C127="",$D127=""),"",$D127-$C127)</f>
        <v/>
      </c>
      <c r="F127" s="4">
        <f>IF($B127="","",COUNTIF($B$5:$B127,$B127))</f>
        <v/>
      </c>
      <c r="G127" s="3" t="n"/>
    </row>
    <row r="128">
      <c r="A128" s="8" t="n"/>
      <c r="B128" s="9" t="n"/>
      <c r="C128" s="10">
        <f>IF($B128="","",IFERROR(VLOOKUP($B128,目標タイム!$A:$B,2,FALSE),""))</f>
        <v/>
      </c>
      <c r="D128" s="10" t="n"/>
      <c r="E128" s="10">
        <f>IF(OR($C128="",$D128=""),"",$D128-$C128)</f>
        <v/>
      </c>
      <c r="F128" s="10">
        <f>IF($B128="","",COUNTIF($B$5:$B128,$B128))</f>
        <v/>
      </c>
      <c r="G128" s="9" t="n"/>
    </row>
    <row r="129">
      <c r="A129" s="7" t="n"/>
      <c r="B129" s="3" t="n"/>
      <c r="C129" s="4">
        <f>IF($B129="","",IFERROR(VLOOKUP($B129,目標タイム!$A:$B,2,FALSE),""))</f>
        <v/>
      </c>
      <c r="D129" s="4" t="n"/>
      <c r="E129" s="4">
        <f>IF(OR($C129="",$D129=""),"",$D129-$C129)</f>
        <v/>
      </c>
      <c r="F129" s="4">
        <f>IF($B129="","",COUNTIF($B$5:$B129,$B129))</f>
        <v/>
      </c>
      <c r="G129" s="3" t="n"/>
    </row>
    <row r="130">
      <c r="A130" s="8" t="n"/>
      <c r="B130" s="9" t="n"/>
      <c r="C130" s="10">
        <f>IF($B130="","",IFERROR(VLOOKUP($B130,目標タイム!$A:$B,2,FALSE),""))</f>
        <v/>
      </c>
      <c r="D130" s="10" t="n"/>
      <c r="E130" s="10">
        <f>IF(OR($C130="",$D130=""),"",$D130-$C130)</f>
        <v/>
      </c>
      <c r="F130" s="10">
        <f>IF($B130="","",COUNTIF($B$5:$B130,$B130))</f>
        <v/>
      </c>
      <c r="G130" s="9" t="n"/>
    </row>
    <row r="131">
      <c r="A131" s="7" t="n"/>
      <c r="B131" s="3" t="n"/>
      <c r="C131" s="4">
        <f>IF($B131="","",IFERROR(VLOOKUP($B131,目標タイム!$A:$B,2,FALSE),""))</f>
        <v/>
      </c>
      <c r="D131" s="4" t="n"/>
      <c r="E131" s="4">
        <f>IF(OR($C131="",$D131=""),"",$D131-$C131)</f>
        <v/>
      </c>
      <c r="F131" s="4">
        <f>IF($B131="","",COUNTIF($B$5:$B131,$B131))</f>
        <v/>
      </c>
      <c r="G131" s="3" t="n"/>
    </row>
    <row r="132">
      <c r="A132" s="8" t="n"/>
      <c r="B132" s="9" t="n"/>
      <c r="C132" s="10">
        <f>IF($B132="","",IFERROR(VLOOKUP($B132,目標タイム!$A:$B,2,FALSE),""))</f>
        <v/>
      </c>
      <c r="D132" s="10" t="n"/>
      <c r="E132" s="10">
        <f>IF(OR($C132="",$D132=""),"",$D132-$C132)</f>
        <v/>
      </c>
      <c r="F132" s="10">
        <f>IF($B132="","",COUNTIF($B$5:$B132,$B132))</f>
        <v/>
      </c>
      <c r="G132" s="9" t="n"/>
    </row>
    <row r="133">
      <c r="A133" s="7" t="n"/>
      <c r="B133" s="3" t="n"/>
      <c r="C133" s="4">
        <f>IF($B133="","",IFERROR(VLOOKUP($B133,目標タイム!$A:$B,2,FALSE),""))</f>
        <v/>
      </c>
      <c r="D133" s="4" t="n"/>
      <c r="E133" s="4">
        <f>IF(OR($C133="",$D133=""),"",$D133-$C133)</f>
        <v/>
      </c>
      <c r="F133" s="4">
        <f>IF($B133="","",COUNTIF($B$5:$B133,$B133))</f>
        <v/>
      </c>
      <c r="G133" s="3" t="n"/>
    </row>
    <row r="134">
      <c r="A134" s="8" t="n"/>
      <c r="B134" s="9" t="n"/>
      <c r="C134" s="10">
        <f>IF($B134="","",IFERROR(VLOOKUP($B134,目標タイム!$A:$B,2,FALSE),""))</f>
        <v/>
      </c>
      <c r="D134" s="10" t="n"/>
      <c r="E134" s="10">
        <f>IF(OR($C134="",$D134=""),"",$D134-$C134)</f>
        <v/>
      </c>
      <c r="F134" s="10">
        <f>IF($B134="","",COUNTIF($B$5:$B134,$B134))</f>
        <v/>
      </c>
      <c r="G134" s="9" t="n"/>
    </row>
    <row r="135">
      <c r="A135" s="7" t="n"/>
      <c r="B135" s="3" t="n"/>
      <c r="C135" s="4">
        <f>IF($B135="","",IFERROR(VLOOKUP($B135,目標タイム!$A:$B,2,FALSE),""))</f>
        <v/>
      </c>
      <c r="D135" s="4" t="n"/>
      <c r="E135" s="4">
        <f>IF(OR($C135="",$D135=""),"",$D135-$C135)</f>
        <v/>
      </c>
      <c r="F135" s="4">
        <f>IF($B135="","",COUNTIF($B$5:$B135,$B135))</f>
        <v/>
      </c>
      <c r="G135" s="3" t="n"/>
    </row>
    <row r="136">
      <c r="A136" s="8" t="n"/>
      <c r="B136" s="9" t="n"/>
      <c r="C136" s="10">
        <f>IF($B136="","",IFERROR(VLOOKUP($B136,目標タイム!$A:$B,2,FALSE),""))</f>
        <v/>
      </c>
      <c r="D136" s="10" t="n"/>
      <c r="E136" s="10">
        <f>IF(OR($C136="",$D136=""),"",$D136-$C136)</f>
        <v/>
      </c>
      <c r="F136" s="10">
        <f>IF($B136="","",COUNTIF($B$5:$B136,$B136))</f>
        <v/>
      </c>
      <c r="G136" s="9" t="n"/>
    </row>
    <row r="137">
      <c r="A137" s="7" t="n"/>
      <c r="B137" s="3" t="n"/>
      <c r="C137" s="4">
        <f>IF($B137="","",IFERROR(VLOOKUP($B137,目標タイム!$A:$B,2,FALSE),""))</f>
        <v/>
      </c>
      <c r="D137" s="4" t="n"/>
      <c r="E137" s="4">
        <f>IF(OR($C137="",$D137=""),"",$D137-$C137)</f>
        <v/>
      </c>
      <c r="F137" s="4">
        <f>IF($B137="","",COUNTIF($B$5:$B137,$B137))</f>
        <v/>
      </c>
      <c r="G137" s="3" t="n"/>
    </row>
    <row r="138">
      <c r="A138" s="8" t="n"/>
      <c r="B138" s="9" t="n"/>
      <c r="C138" s="10">
        <f>IF($B138="","",IFERROR(VLOOKUP($B138,目標タイム!$A:$B,2,FALSE),""))</f>
        <v/>
      </c>
      <c r="D138" s="10" t="n"/>
      <c r="E138" s="10">
        <f>IF(OR($C138="",$D138=""),"",$D138-$C138)</f>
        <v/>
      </c>
      <c r="F138" s="10">
        <f>IF($B138="","",COUNTIF($B$5:$B138,$B138))</f>
        <v/>
      </c>
      <c r="G138" s="9" t="n"/>
    </row>
    <row r="139">
      <c r="A139" s="7" t="n"/>
      <c r="B139" s="3" t="n"/>
      <c r="C139" s="4">
        <f>IF($B139="","",IFERROR(VLOOKUP($B139,目標タイム!$A:$B,2,FALSE),""))</f>
        <v/>
      </c>
      <c r="D139" s="4" t="n"/>
      <c r="E139" s="4">
        <f>IF(OR($C139="",$D139=""),"",$D139-$C139)</f>
        <v/>
      </c>
      <c r="F139" s="4">
        <f>IF($B139="","",COUNTIF($B$5:$B139,$B139))</f>
        <v/>
      </c>
      <c r="G139" s="3" t="n"/>
    </row>
    <row r="140">
      <c r="A140" s="8" t="n"/>
      <c r="B140" s="9" t="n"/>
      <c r="C140" s="10">
        <f>IF($B140="","",IFERROR(VLOOKUP($B140,目標タイム!$A:$B,2,FALSE),""))</f>
        <v/>
      </c>
      <c r="D140" s="10" t="n"/>
      <c r="E140" s="10">
        <f>IF(OR($C140="",$D140=""),"",$D140-$C140)</f>
        <v/>
      </c>
      <c r="F140" s="10">
        <f>IF($B140="","",COUNTIF($B$5:$B140,$B140))</f>
        <v/>
      </c>
      <c r="G140" s="9" t="n"/>
    </row>
    <row r="141">
      <c r="A141" s="7" t="n"/>
      <c r="B141" s="3" t="n"/>
      <c r="C141" s="4">
        <f>IF($B141="","",IFERROR(VLOOKUP($B141,目標タイム!$A:$B,2,FALSE),""))</f>
        <v/>
      </c>
      <c r="D141" s="4" t="n"/>
      <c r="E141" s="4">
        <f>IF(OR($C141="",$D141=""),"",$D141-$C141)</f>
        <v/>
      </c>
      <c r="F141" s="4">
        <f>IF($B141="","",COUNTIF($B$5:$B141,$B141))</f>
        <v/>
      </c>
      <c r="G141" s="3" t="n"/>
    </row>
    <row r="142">
      <c r="A142" s="8" t="n"/>
      <c r="B142" s="9" t="n"/>
      <c r="C142" s="10">
        <f>IF($B142="","",IFERROR(VLOOKUP($B142,目標タイム!$A:$B,2,FALSE),""))</f>
        <v/>
      </c>
      <c r="D142" s="10" t="n"/>
      <c r="E142" s="10">
        <f>IF(OR($C142="",$D142=""),"",$D142-$C142)</f>
        <v/>
      </c>
      <c r="F142" s="10">
        <f>IF($B142="","",COUNTIF($B$5:$B142,$B142))</f>
        <v/>
      </c>
      <c r="G142" s="9" t="n"/>
    </row>
    <row r="143">
      <c r="A143" s="7" t="n"/>
      <c r="B143" s="3" t="n"/>
      <c r="C143" s="4">
        <f>IF($B143="","",IFERROR(VLOOKUP($B143,目標タイム!$A:$B,2,FALSE),""))</f>
        <v/>
      </c>
      <c r="D143" s="4" t="n"/>
      <c r="E143" s="4">
        <f>IF(OR($C143="",$D143=""),"",$D143-$C143)</f>
        <v/>
      </c>
      <c r="F143" s="4">
        <f>IF($B143="","",COUNTIF($B$5:$B143,$B143))</f>
        <v/>
      </c>
      <c r="G143" s="3" t="n"/>
    </row>
    <row r="144">
      <c r="A144" s="8" t="n"/>
      <c r="B144" s="9" t="n"/>
      <c r="C144" s="10">
        <f>IF($B144="","",IFERROR(VLOOKUP($B144,目標タイム!$A:$B,2,FALSE),""))</f>
        <v/>
      </c>
      <c r="D144" s="10" t="n"/>
      <c r="E144" s="10">
        <f>IF(OR($C144="",$D144=""),"",$D144-$C144)</f>
        <v/>
      </c>
      <c r="F144" s="10">
        <f>IF($B144="","",COUNTIF($B$5:$B144,$B144))</f>
        <v/>
      </c>
      <c r="G144" s="9" t="n"/>
    </row>
    <row r="145">
      <c r="A145" s="7" t="n"/>
      <c r="B145" s="3" t="n"/>
      <c r="C145" s="4">
        <f>IF($B145="","",IFERROR(VLOOKUP($B145,目標タイム!$A:$B,2,FALSE),""))</f>
        <v/>
      </c>
      <c r="D145" s="4" t="n"/>
      <c r="E145" s="4">
        <f>IF(OR($C145="",$D145=""),"",$D145-$C145)</f>
        <v/>
      </c>
      <c r="F145" s="4">
        <f>IF($B145="","",COUNTIF($B$5:$B145,$B145))</f>
        <v/>
      </c>
      <c r="G145" s="3" t="n"/>
    </row>
    <row r="146">
      <c r="A146" s="8" t="n"/>
      <c r="B146" s="9" t="n"/>
      <c r="C146" s="10">
        <f>IF($B146="","",IFERROR(VLOOKUP($B146,目標タイム!$A:$B,2,FALSE),""))</f>
        <v/>
      </c>
      <c r="D146" s="10" t="n"/>
      <c r="E146" s="10">
        <f>IF(OR($C146="",$D146=""),"",$D146-$C146)</f>
        <v/>
      </c>
      <c r="F146" s="10">
        <f>IF($B146="","",COUNTIF($B$5:$B146,$B146))</f>
        <v/>
      </c>
      <c r="G146" s="9" t="n"/>
    </row>
    <row r="147">
      <c r="A147" s="7" t="n"/>
      <c r="B147" s="3" t="n"/>
      <c r="C147" s="4">
        <f>IF($B147="","",IFERROR(VLOOKUP($B147,目標タイム!$A:$B,2,FALSE),""))</f>
        <v/>
      </c>
      <c r="D147" s="4" t="n"/>
      <c r="E147" s="4">
        <f>IF(OR($C147="",$D147=""),"",$D147-$C147)</f>
        <v/>
      </c>
      <c r="F147" s="4">
        <f>IF($B147="","",COUNTIF($B$5:$B147,$B147))</f>
        <v/>
      </c>
      <c r="G147" s="3" t="n"/>
    </row>
    <row r="148">
      <c r="A148" s="8" t="n"/>
      <c r="B148" s="9" t="n"/>
      <c r="C148" s="10">
        <f>IF($B148="","",IFERROR(VLOOKUP($B148,目標タイム!$A:$B,2,FALSE),""))</f>
        <v/>
      </c>
      <c r="D148" s="10" t="n"/>
      <c r="E148" s="10">
        <f>IF(OR($C148="",$D148=""),"",$D148-$C148)</f>
        <v/>
      </c>
      <c r="F148" s="10">
        <f>IF($B148="","",COUNTIF($B$5:$B148,$B148))</f>
        <v/>
      </c>
      <c r="G148" s="9" t="n"/>
    </row>
    <row r="149">
      <c r="A149" s="7" t="n"/>
      <c r="B149" s="3" t="n"/>
      <c r="C149" s="4">
        <f>IF($B149="","",IFERROR(VLOOKUP($B149,目標タイム!$A:$B,2,FALSE),""))</f>
        <v/>
      </c>
      <c r="D149" s="4" t="n"/>
      <c r="E149" s="4">
        <f>IF(OR($C149="",$D149=""),"",$D149-$C149)</f>
        <v/>
      </c>
      <c r="F149" s="4">
        <f>IF($B149="","",COUNTIF($B$5:$B149,$B149))</f>
        <v/>
      </c>
      <c r="G149" s="3" t="n"/>
    </row>
    <row r="150">
      <c r="A150" s="8" t="n"/>
      <c r="B150" s="9" t="n"/>
      <c r="C150" s="10">
        <f>IF($B150="","",IFERROR(VLOOKUP($B150,目標タイム!$A:$B,2,FALSE),""))</f>
        <v/>
      </c>
      <c r="D150" s="10" t="n"/>
      <c r="E150" s="10">
        <f>IF(OR($C150="",$D150=""),"",$D150-$C150)</f>
        <v/>
      </c>
      <c r="F150" s="10">
        <f>IF($B150="","",COUNTIF($B$5:$B150,$B150))</f>
        <v/>
      </c>
      <c r="G150" s="9" t="n"/>
    </row>
    <row r="151">
      <c r="A151" s="7" t="n"/>
      <c r="B151" s="3" t="n"/>
      <c r="C151" s="4">
        <f>IF($B151="","",IFERROR(VLOOKUP($B151,目標タイム!$A:$B,2,FALSE),""))</f>
        <v/>
      </c>
      <c r="D151" s="4" t="n"/>
      <c r="E151" s="4">
        <f>IF(OR($C151="",$D151=""),"",$D151-$C151)</f>
        <v/>
      </c>
      <c r="F151" s="4">
        <f>IF($B151="","",COUNTIF($B$5:$B151,$B151))</f>
        <v/>
      </c>
      <c r="G151" s="3" t="n"/>
    </row>
    <row r="152">
      <c r="A152" s="8" t="n"/>
      <c r="B152" s="9" t="n"/>
      <c r="C152" s="10">
        <f>IF($B152="","",IFERROR(VLOOKUP($B152,目標タイム!$A:$B,2,FALSE),""))</f>
        <v/>
      </c>
      <c r="D152" s="10" t="n"/>
      <c r="E152" s="10">
        <f>IF(OR($C152="",$D152=""),"",$D152-$C152)</f>
        <v/>
      </c>
      <c r="F152" s="10">
        <f>IF($B152="","",COUNTIF($B$5:$B152,$B152))</f>
        <v/>
      </c>
      <c r="G152" s="9" t="n"/>
    </row>
    <row r="153">
      <c r="A153" s="7" t="n"/>
      <c r="B153" s="3" t="n"/>
      <c r="C153" s="4">
        <f>IF($B153="","",IFERROR(VLOOKUP($B153,目標タイム!$A:$B,2,FALSE),""))</f>
        <v/>
      </c>
      <c r="D153" s="4" t="n"/>
      <c r="E153" s="4">
        <f>IF(OR($C153="",$D153=""),"",$D153-$C153)</f>
        <v/>
      </c>
      <c r="F153" s="4">
        <f>IF($B153="","",COUNTIF($B$5:$B153,$B153))</f>
        <v/>
      </c>
      <c r="G153" s="3" t="n"/>
    </row>
    <row r="154">
      <c r="A154" s="8" t="n"/>
      <c r="B154" s="9" t="n"/>
      <c r="C154" s="10">
        <f>IF($B154="","",IFERROR(VLOOKUP($B154,目標タイム!$A:$B,2,FALSE),""))</f>
        <v/>
      </c>
      <c r="D154" s="10" t="n"/>
      <c r="E154" s="10">
        <f>IF(OR($C154="",$D154=""),"",$D154-$C154)</f>
        <v/>
      </c>
      <c r="F154" s="10">
        <f>IF($B154="","",COUNTIF($B$5:$B154,$B154))</f>
        <v/>
      </c>
      <c r="G154" s="9" t="n"/>
    </row>
    <row r="155">
      <c r="A155" s="7" t="n"/>
      <c r="B155" s="3" t="n"/>
      <c r="C155" s="4">
        <f>IF($B155="","",IFERROR(VLOOKUP($B155,目標タイム!$A:$B,2,FALSE),""))</f>
        <v/>
      </c>
      <c r="D155" s="4" t="n"/>
      <c r="E155" s="4">
        <f>IF(OR($C155="",$D155=""),"",$D155-$C155)</f>
        <v/>
      </c>
      <c r="F155" s="4">
        <f>IF($B155="","",COUNTIF($B$5:$B155,$B155))</f>
        <v/>
      </c>
      <c r="G155" s="3" t="n"/>
    </row>
    <row r="156">
      <c r="A156" s="8" t="n"/>
      <c r="B156" s="9" t="n"/>
      <c r="C156" s="10">
        <f>IF($B156="","",IFERROR(VLOOKUP($B156,目標タイム!$A:$B,2,FALSE),""))</f>
        <v/>
      </c>
      <c r="D156" s="10" t="n"/>
      <c r="E156" s="10">
        <f>IF(OR($C156="",$D156=""),"",$D156-$C156)</f>
        <v/>
      </c>
      <c r="F156" s="10">
        <f>IF($B156="","",COUNTIF($B$5:$B156,$B156))</f>
        <v/>
      </c>
      <c r="G156" s="9" t="n"/>
    </row>
    <row r="157">
      <c r="A157" s="7" t="n"/>
      <c r="B157" s="3" t="n"/>
      <c r="C157" s="4">
        <f>IF($B157="","",IFERROR(VLOOKUP($B157,目標タイム!$A:$B,2,FALSE),""))</f>
        <v/>
      </c>
      <c r="D157" s="4" t="n"/>
      <c r="E157" s="4">
        <f>IF(OR($C157="",$D157=""),"",$D157-$C157)</f>
        <v/>
      </c>
      <c r="F157" s="4">
        <f>IF($B157="","",COUNTIF($B$5:$B157,$B157))</f>
        <v/>
      </c>
      <c r="G157" s="3" t="n"/>
    </row>
    <row r="158">
      <c r="A158" s="8" t="n"/>
      <c r="B158" s="9" t="n"/>
      <c r="C158" s="10">
        <f>IF($B158="","",IFERROR(VLOOKUP($B158,目標タイム!$A:$B,2,FALSE),""))</f>
        <v/>
      </c>
      <c r="D158" s="10" t="n"/>
      <c r="E158" s="10">
        <f>IF(OR($C158="",$D158=""),"",$D158-$C158)</f>
        <v/>
      </c>
      <c r="F158" s="10">
        <f>IF($B158="","",COUNTIF($B$5:$B158,$B158))</f>
        <v/>
      </c>
      <c r="G158" s="9" t="n"/>
    </row>
    <row r="159">
      <c r="A159" s="7" t="n"/>
      <c r="B159" s="3" t="n"/>
      <c r="C159" s="4">
        <f>IF($B159="","",IFERROR(VLOOKUP($B159,目標タイム!$A:$B,2,FALSE),""))</f>
        <v/>
      </c>
      <c r="D159" s="4" t="n"/>
      <c r="E159" s="4">
        <f>IF(OR($C159="",$D159=""),"",$D159-$C159)</f>
        <v/>
      </c>
      <c r="F159" s="4">
        <f>IF($B159="","",COUNTIF($B$5:$B159,$B159))</f>
        <v/>
      </c>
      <c r="G159" s="3" t="n"/>
    </row>
    <row r="160">
      <c r="A160" s="8" t="n"/>
      <c r="B160" s="9" t="n"/>
      <c r="C160" s="10">
        <f>IF($B160="","",IFERROR(VLOOKUP($B160,目標タイム!$A:$B,2,FALSE),""))</f>
        <v/>
      </c>
      <c r="D160" s="10" t="n"/>
      <c r="E160" s="10">
        <f>IF(OR($C160="",$D160=""),"",$D160-$C160)</f>
        <v/>
      </c>
      <c r="F160" s="10">
        <f>IF($B160="","",COUNTIF($B$5:$B160,$B160))</f>
        <v/>
      </c>
      <c r="G160" s="9" t="n"/>
    </row>
    <row r="161">
      <c r="A161" s="7" t="n"/>
      <c r="B161" s="3" t="n"/>
      <c r="C161" s="4">
        <f>IF($B161="","",IFERROR(VLOOKUP($B161,目標タイム!$A:$B,2,FALSE),""))</f>
        <v/>
      </c>
      <c r="D161" s="4" t="n"/>
      <c r="E161" s="4">
        <f>IF(OR($C161="",$D161=""),"",$D161-$C161)</f>
        <v/>
      </c>
      <c r="F161" s="4">
        <f>IF($B161="","",COUNTIF($B$5:$B161,$B161))</f>
        <v/>
      </c>
      <c r="G161" s="3" t="n"/>
    </row>
    <row r="162">
      <c r="A162" s="8" t="n"/>
      <c r="B162" s="9" t="n"/>
      <c r="C162" s="10">
        <f>IF($B162="","",IFERROR(VLOOKUP($B162,目標タイム!$A:$B,2,FALSE),""))</f>
        <v/>
      </c>
      <c r="D162" s="10" t="n"/>
      <c r="E162" s="10">
        <f>IF(OR($C162="",$D162=""),"",$D162-$C162)</f>
        <v/>
      </c>
      <c r="F162" s="10">
        <f>IF($B162="","",COUNTIF($B$5:$B162,$B162))</f>
        <v/>
      </c>
      <c r="G162" s="9" t="n"/>
    </row>
    <row r="163">
      <c r="A163" s="7" t="n"/>
      <c r="B163" s="3" t="n"/>
      <c r="C163" s="4">
        <f>IF($B163="","",IFERROR(VLOOKUP($B163,目標タイム!$A:$B,2,FALSE),""))</f>
        <v/>
      </c>
      <c r="D163" s="4" t="n"/>
      <c r="E163" s="4">
        <f>IF(OR($C163="",$D163=""),"",$D163-$C163)</f>
        <v/>
      </c>
      <c r="F163" s="4">
        <f>IF($B163="","",COUNTIF($B$5:$B163,$B163))</f>
        <v/>
      </c>
      <c r="G163" s="3" t="n"/>
    </row>
    <row r="164">
      <c r="A164" s="8" t="n"/>
      <c r="B164" s="9" t="n"/>
      <c r="C164" s="10">
        <f>IF($B164="","",IFERROR(VLOOKUP($B164,目標タイム!$A:$B,2,FALSE),""))</f>
        <v/>
      </c>
      <c r="D164" s="10" t="n"/>
      <c r="E164" s="10">
        <f>IF(OR($C164="",$D164=""),"",$D164-$C164)</f>
        <v/>
      </c>
      <c r="F164" s="10">
        <f>IF($B164="","",COUNTIF($B$5:$B164,$B164))</f>
        <v/>
      </c>
      <c r="G164" s="9" t="n"/>
    </row>
    <row r="165">
      <c r="A165" s="7" t="n"/>
      <c r="B165" s="3" t="n"/>
      <c r="C165" s="4">
        <f>IF($B165="","",IFERROR(VLOOKUP($B165,目標タイム!$A:$B,2,FALSE),""))</f>
        <v/>
      </c>
      <c r="D165" s="4" t="n"/>
      <c r="E165" s="4">
        <f>IF(OR($C165="",$D165=""),"",$D165-$C165)</f>
        <v/>
      </c>
      <c r="F165" s="4">
        <f>IF($B165="","",COUNTIF($B$5:$B165,$B165))</f>
        <v/>
      </c>
      <c r="G165" s="3" t="n"/>
    </row>
    <row r="166">
      <c r="A166" s="8" t="n"/>
      <c r="B166" s="9" t="n"/>
      <c r="C166" s="10">
        <f>IF($B166="","",IFERROR(VLOOKUP($B166,目標タイム!$A:$B,2,FALSE),""))</f>
        <v/>
      </c>
      <c r="D166" s="10" t="n"/>
      <c r="E166" s="10">
        <f>IF(OR($C166="",$D166=""),"",$D166-$C166)</f>
        <v/>
      </c>
      <c r="F166" s="10">
        <f>IF($B166="","",COUNTIF($B$5:$B166,$B166))</f>
        <v/>
      </c>
      <c r="G166" s="9" t="n"/>
    </row>
    <row r="167">
      <c r="A167" s="7" t="n"/>
      <c r="B167" s="3" t="n"/>
      <c r="C167" s="4">
        <f>IF($B167="","",IFERROR(VLOOKUP($B167,目標タイム!$A:$B,2,FALSE),""))</f>
        <v/>
      </c>
      <c r="D167" s="4" t="n"/>
      <c r="E167" s="4">
        <f>IF(OR($C167="",$D167=""),"",$D167-$C167)</f>
        <v/>
      </c>
      <c r="F167" s="4">
        <f>IF($B167="","",COUNTIF($B$5:$B167,$B167))</f>
        <v/>
      </c>
      <c r="G167" s="3" t="n"/>
    </row>
    <row r="168">
      <c r="A168" s="8" t="n"/>
      <c r="B168" s="9" t="n"/>
      <c r="C168" s="10">
        <f>IF($B168="","",IFERROR(VLOOKUP($B168,目標タイム!$A:$B,2,FALSE),""))</f>
        <v/>
      </c>
      <c r="D168" s="10" t="n"/>
      <c r="E168" s="10">
        <f>IF(OR($C168="",$D168=""),"",$D168-$C168)</f>
        <v/>
      </c>
      <c r="F168" s="10">
        <f>IF($B168="","",COUNTIF($B$5:$B168,$B168))</f>
        <v/>
      </c>
      <c r="G168" s="9" t="n"/>
    </row>
    <row r="169">
      <c r="A169" s="7" t="n"/>
      <c r="B169" s="3" t="n"/>
      <c r="C169" s="4">
        <f>IF($B169="","",IFERROR(VLOOKUP($B169,目標タイム!$A:$B,2,FALSE),""))</f>
        <v/>
      </c>
      <c r="D169" s="4" t="n"/>
      <c r="E169" s="4">
        <f>IF(OR($C169="",$D169=""),"",$D169-$C169)</f>
        <v/>
      </c>
      <c r="F169" s="4">
        <f>IF($B169="","",COUNTIF($B$5:$B169,$B169))</f>
        <v/>
      </c>
      <c r="G169" s="3" t="n"/>
    </row>
    <row r="170">
      <c r="A170" s="8" t="n"/>
      <c r="B170" s="9" t="n"/>
      <c r="C170" s="10">
        <f>IF($B170="","",IFERROR(VLOOKUP($B170,目標タイム!$A:$B,2,FALSE),""))</f>
        <v/>
      </c>
      <c r="D170" s="10" t="n"/>
      <c r="E170" s="10">
        <f>IF(OR($C170="",$D170=""),"",$D170-$C170)</f>
        <v/>
      </c>
      <c r="F170" s="10">
        <f>IF($B170="","",COUNTIF($B$5:$B170,$B170))</f>
        <v/>
      </c>
      <c r="G170" s="9" t="n"/>
    </row>
    <row r="171">
      <c r="A171" s="7" t="n"/>
      <c r="B171" s="3" t="n"/>
      <c r="C171" s="4">
        <f>IF($B171="","",IFERROR(VLOOKUP($B171,目標タイム!$A:$B,2,FALSE),""))</f>
        <v/>
      </c>
      <c r="D171" s="4" t="n"/>
      <c r="E171" s="4">
        <f>IF(OR($C171="",$D171=""),"",$D171-$C171)</f>
        <v/>
      </c>
      <c r="F171" s="4">
        <f>IF($B171="","",COUNTIF($B$5:$B171,$B171))</f>
        <v/>
      </c>
      <c r="G171" s="3" t="n"/>
    </row>
    <row r="172">
      <c r="A172" s="8" t="n"/>
      <c r="B172" s="9" t="n"/>
      <c r="C172" s="10">
        <f>IF($B172="","",IFERROR(VLOOKUP($B172,目標タイム!$A:$B,2,FALSE),""))</f>
        <v/>
      </c>
      <c r="D172" s="10" t="n"/>
      <c r="E172" s="10">
        <f>IF(OR($C172="",$D172=""),"",$D172-$C172)</f>
        <v/>
      </c>
      <c r="F172" s="10">
        <f>IF($B172="","",COUNTIF($B$5:$B172,$B172))</f>
        <v/>
      </c>
      <c r="G172" s="9" t="n"/>
    </row>
    <row r="173">
      <c r="A173" s="7" t="n"/>
      <c r="B173" s="3" t="n"/>
      <c r="C173" s="4">
        <f>IF($B173="","",IFERROR(VLOOKUP($B173,目標タイム!$A:$B,2,FALSE),""))</f>
        <v/>
      </c>
      <c r="D173" s="4" t="n"/>
      <c r="E173" s="4">
        <f>IF(OR($C173="",$D173=""),"",$D173-$C173)</f>
        <v/>
      </c>
      <c r="F173" s="4">
        <f>IF($B173="","",COUNTIF($B$5:$B173,$B173))</f>
        <v/>
      </c>
      <c r="G173" s="3" t="n"/>
    </row>
    <row r="174">
      <c r="A174" s="8" t="n"/>
      <c r="B174" s="9" t="n"/>
      <c r="C174" s="10">
        <f>IF($B174="","",IFERROR(VLOOKUP($B174,目標タイム!$A:$B,2,FALSE),""))</f>
        <v/>
      </c>
      <c r="D174" s="10" t="n"/>
      <c r="E174" s="10">
        <f>IF(OR($C174="",$D174=""),"",$D174-$C174)</f>
        <v/>
      </c>
      <c r="F174" s="10">
        <f>IF($B174="","",COUNTIF($B$5:$B174,$B174))</f>
        <v/>
      </c>
      <c r="G174" s="9" t="n"/>
    </row>
    <row r="175">
      <c r="A175" s="7" t="n"/>
      <c r="B175" s="3" t="n"/>
      <c r="C175" s="4">
        <f>IF($B175="","",IFERROR(VLOOKUP($B175,目標タイム!$A:$B,2,FALSE),""))</f>
        <v/>
      </c>
      <c r="D175" s="4" t="n"/>
      <c r="E175" s="4">
        <f>IF(OR($C175="",$D175=""),"",$D175-$C175)</f>
        <v/>
      </c>
      <c r="F175" s="4">
        <f>IF($B175="","",COUNTIF($B$5:$B175,$B175))</f>
        <v/>
      </c>
      <c r="G175" s="3" t="n"/>
    </row>
    <row r="176">
      <c r="A176" s="8" t="n"/>
      <c r="B176" s="9" t="n"/>
      <c r="C176" s="10">
        <f>IF($B176="","",IFERROR(VLOOKUP($B176,目標タイム!$A:$B,2,FALSE),""))</f>
        <v/>
      </c>
      <c r="D176" s="10" t="n"/>
      <c r="E176" s="10">
        <f>IF(OR($C176="",$D176=""),"",$D176-$C176)</f>
        <v/>
      </c>
      <c r="F176" s="10">
        <f>IF($B176="","",COUNTIF($B$5:$B176,$B176))</f>
        <v/>
      </c>
      <c r="G176" s="9" t="n"/>
    </row>
    <row r="177">
      <c r="A177" s="7" t="n"/>
      <c r="B177" s="3" t="n"/>
      <c r="C177" s="4">
        <f>IF($B177="","",IFERROR(VLOOKUP($B177,目標タイム!$A:$B,2,FALSE),""))</f>
        <v/>
      </c>
      <c r="D177" s="4" t="n"/>
      <c r="E177" s="4">
        <f>IF(OR($C177="",$D177=""),"",$D177-$C177)</f>
        <v/>
      </c>
      <c r="F177" s="4">
        <f>IF($B177="","",COUNTIF($B$5:$B177,$B177))</f>
        <v/>
      </c>
      <c r="G177" s="3" t="n"/>
    </row>
    <row r="178">
      <c r="A178" s="8" t="n"/>
      <c r="B178" s="9" t="n"/>
      <c r="C178" s="10">
        <f>IF($B178="","",IFERROR(VLOOKUP($B178,目標タイム!$A:$B,2,FALSE),""))</f>
        <v/>
      </c>
      <c r="D178" s="10" t="n"/>
      <c r="E178" s="10">
        <f>IF(OR($C178="",$D178=""),"",$D178-$C178)</f>
        <v/>
      </c>
      <c r="F178" s="10">
        <f>IF($B178="","",COUNTIF($B$5:$B178,$B178))</f>
        <v/>
      </c>
      <c r="G178" s="9" t="n"/>
    </row>
    <row r="179">
      <c r="A179" s="7" t="n"/>
      <c r="B179" s="3" t="n"/>
      <c r="C179" s="4">
        <f>IF($B179="","",IFERROR(VLOOKUP($B179,目標タイム!$A:$B,2,FALSE),""))</f>
        <v/>
      </c>
      <c r="D179" s="4" t="n"/>
      <c r="E179" s="4">
        <f>IF(OR($C179="",$D179=""),"",$D179-$C179)</f>
        <v/>
      </c>
      <c r="F179" s="4">
        <f>IF($B179="","",COUNTIF($B$5:$B179,$B179))</f>
        <v/>
      </c>
      <c r="G179" s="3" t="n"/>
    </row>
    <row r="180">
      <c r="A180" s="8" t="n"/>
      <c r="B180" s="9" t="n"/>
      <c r="C180" s="10">
        <f>IF($B180="","",IFERROR(VLOOKUP($B180,目標タイム!$A:$B,2,FALSE),""))</f>
        <v/>
      </c>
      <c r="D180" s="10" t="n"/>
      <c r="E180" s="10">
        <f>IF(OR($C180="",$D180=""),"",$D180-$C180)</f>
        <v/>
      </c>
      <c r="F180" s="10">
        <f>IF($B180="","",COUNTIF($B$5:$B180,$B180))</f>
        <v/>
      </c>
      <c r="G180" s="9" t="n"/>
    </row>
    <row r="181">
      <c r="A181" s="7" t="n"/>
      <c r="B181" s="3" t="n"/>
      <c r="C181" s="4">
        <f>IF($B181="","",IFERROR(VLOOKUP($B181,目標タイム!$A:$B,2,FALSE),""))</f>
        <v/>
      </c>
      <c r="D181" s="4" t="n"/>
      <c r="E181" s="4">
        <f>IF(OR($C181="",$D181=""),"",$D181-$C181)</f>
        <v/>
      </c>
      <c r="F181" s="4">
        <f>IF($B181="","",COUNTIF($B$5:$B181,$B181))</f>
        <v/>
      </c>
      <c r="G181" s="3" t="n"/>
    </row>
    <row r="182">
      <c r="A182" s="8" t="n"/>
      <c r="B182" s="9" t="n"/>
      <c r="C182" s="10">
        <f>IF($B182="","",IFERROR(VLOOKUP($B182,目標タイム!$A:$B,2,FALSE),""))</f>
        <v/>
      </c>
      <c r="D182" s="10" t="n"/>
      <c r="E182" s="10">
        <f>IF(OR($C182="",$D182=""),"",$D182-$C182)</f>
        <v/>
      </c>
      <c r="F182" s="10">
        <f>IF($B182="","",COUNTIF($B$5:$B182,$B182))</f>
        <v/>
      </c>
      <c r="G182" s="9" t="n"/>
    </row>
    <row r="183">
      <c r="A183" s="7" t="n"/>
      <c r="B183" s="3" t="n"/>
      <c r="C183" s="4">
        <f>IF($B183="","",IFERROR(VLOOKUP($B183,目標タイム!$A:$B,2,FALSE),""))</f>
        <v/>
      </c>
      <c r="D183" s="4" t="n"/>
      <c r="E183" s="4">
        <f>IF(OR($C183="",$D183=""),"",$D183-$C183)</f>
        <v/>
      </c>
      <c r="F183" s="4">
        <f>IF($B183="","",COUNTIF($B$5:$B183,$B183))</f>
        <v/>
      </c>
      <c r="G183" s="3" t="n"/>
    </row>
    <row r="184">
      <c r="A184" s="8" t="n"/>
      <c r="B184" s="9" t="n"/>
      <c r="C184" s="10">
        <f>IF($B184="","",IFERROR(VLOOKUP($B184,目標タイム!$A:$B,2,FALSE),""))</f>
        <v/>
      </c>
      <c r="D184" s="10" t="n"/>
      <c r="E184" s="10">
        <f>IF(OR($C184="",$D184=""),"",$D184-$C184)</f>
        <v/>
      </c>
      <c r="F184" s="10">
        <f>IF($B184="","",COUNTIF($B$5:$B184,$B184))</f>
        <v/>
      </c>
      <c r="G184" s="9" t="n"/>
    </row>
    <row r="185">
      <c r="A185" s="7" t="n"/>
      <c r="B185" s="3" t="n"/>
      <c r="C185" s="4">
        <f>IF($B185="","",IFERROR(VLOOKUP($B185,目標タイム!$A:$B,2,FALSE),""))</f>
        <v/>
      </c>
      <c r="D185" s="4" t="n"/>
      <c r="E185" s="4">
        <f>IF(OR($C185="",$D185=""),"",$D185-$C185)</f>
        <v/>
      </c>
      <c r="F185" s="4">
        <f>IF($B185="","",COUNTIF($B$5:$B185,$B185))</f>
        <v/>
      </c>
      <c r="G185" s="3" t="n"/>
    </row>
    <row r="186">
      <c r="A186" s="8" t="n"/>
      <c r="B186" s="9" t="n"/>
      <c r="C186" s="10">
        <f>IF($B186="","",IFERROR(VLOOKUP($B186,目標タイム!$A:$B,2,FALSE),""))</f>
        <v/>
      </c>
      <c r="D186" s="10" t="n"/>
      <c r="E186" s="10">
        <f>IF(OR($C186="",$D186=""),"",$D186-$C186)</f>
        <v/>
      </c>
      <c r="F186" s="10">
        <f>IF($B186="","",COUNTIF($B$5:$B186,$B186))</f>
        <v/>
      </c>
      <c r="G186" s="9" t="n"/>
    </row>
    <row r="187">
      <c r="A187" s="7" t="n"/>
      <c r="B187" s="3" t="n"/>
      <c r="C187" s="4">
        <f>IF($B187="","",IFERROR(VLOOKUP($B187,目標タイム!$A:$B,2,FALSE),""))</f>
        <v/>
      </c>
      <c r="D187" s="4" t="n"/>
      <c r="E187" s="4">
        <f>IF(OR($C187="",$D187=""),"",$D187-$C187)</f>
        <v/>
      </c>
      <c r="F187" s="4">
        <f>IF($B187="","",COUNTIF($B$5:$B187,$B187))</f>
        <v/>
      </c>
      <c r="G187" s="3" t="n"/>
    </row>
    <row r="188">
      <c r="A188" s="8" t="n"/>
      <c r="B188" s="9" t="n"/>
      <c r="C188" s="10">
        <f>IF($B188="","",IFERROR(VLOOKUP($B188,目標タイム!$A:$B,2,FALSE),""))</f>
        <v/>
      </c>
      <c r="D188" s="10" t="n"/>
      <c r="E188" s="10">
        <f>IF(OR($C188="",$D188=""),"",$D188-$C188)</f>
        <v/>
      </c>
      <c r="F188" s="10">
        <f>IF($B188="","",COUNTIF($B$5:$B188,$B188))</f>
        <v/>
      </c>
      <c r="G188" s="9" t="n"/>
    </row>
    <row r="189">
      <c r="A189" s="7" t="n"/>
      <c r="B189" s="3" t="n"/>
      <c r="C189" s="4">
        <f>IF($B189="","",IFERROR(VLOOKUP($B189,目標タイム!$A:$B,2,FALSE),""))</f>
        <v/>
      </c>
      <c r="D189" s="4" t="n"/>
      <c r="E189" s="4">
        <f>IF(OR($C189="",$D189=""),"",$D189-$C189)</f>
        <v/>
      </c>
      <c r="F189" s="4">
        <f>IF($B189="","",COUNTIF($B$5:$B189,$B189))</f>
        <v/>
      </c>
      <c r="G189" s="3" t="n"/>
    </row>
    <row r="190">
      <c r="A190" s="8" t="n"/>
      <c r="B190" s="9" t="n"/>
      <c r="C190" s="10">
        <f>IF($B190="","",IFERROR(VLOOKUP($B190,目標タイム!$A:$B,2,FALSE),""))</f>
        <v/>
      </c>
      <c r="D190" s="10" t="n"/>
      <c r="E190" s="10">
        <f>IF(OR($C190="",$D190=""),"",$D190-$C190)</f>
        <v/>
      </c>
      <c r="F190" s="10">
        <f>IF($B190="","",COUNTIF($B$5:$B190,$B190))</f>
        <v/>
      </c>
      <c r="G190" s="9" t="n"/>
    </row>
    <row r="191">
      <c r="A191" s="7" t="n"/>
      <c r="B191" s="3" t="n"/>
      <c r="C191" s="4">
        <f>IF($B191="","",IFERROR(VLOOKUP($B191,目標タイム!$A:$B,2,FALSE),""))</f>
        <v/>
      </c>
      <c r="D191" s="4" t="n"/>
      <c r="E191" s="4">
        <f>IF(OR($C191="",$D191=""),"",$D191-$C191)</f>
        <v/>
      </c>
      <c r="F191" s="4">
        <f>IF($B191="","",COUNTIF($B$5:$B191,$B191))</f>
        <v/>
      </c>
      <c r="G191" s="3" t="n"/>
    </row>
    <row r="192">
      <c r="A192" s="8" t="n"/>
      <c r="B192" s="9" t="n"/>
      <c r="C192" s="10">
        <f>IF($B192="","",IFERROR(VLOOKUP($B192,目標タイム!$A:$B,2,FALSE),""))</f>
        <v/>
      </c>
      <c r="D192" s="10" t="n"/>
      <c r="E192" s="10">
        <f>IF(OR($C192="",$D192=""),"",$D192-$C192)</f>
        <v/>
      </c>
      <c r="F192" s="10">
        <f>IF($B192="","",COUNTIF($B$5:$B192,$B192))</f>
        <v/>
      </c>
      <c r="G192" s="9" t="n"/>
    </row>
    <row r="193">
      <c r="A193" s="7" t="n"/>
      <c r="B193" s="3" t="n"/>
      <c r="C193" s="4">
        <f>IF($B193="","",IFERROR(VLOOKUP($B193,目標タイム!$A:$B,2,FALSE),""))</f>
        <v/>
      </c>
      <c r="D193" s="4" t="n"/>
      <c r="E193" s="4">
        <f>IF(OR($C193="",$D193=""),"",$D193-$C193)</f>
        <v/>
      </c>
      <c r="F193" s="4">
        <f>IF($B193="","",COUNTIF($B$5:$B193,$B193))</f>
        <v/>
      </c>
      <c r="G193" s="3" t="n"/>
    </row>
    <row r="194">
      <c r="A194" s="8" t="n"/>
      <c r="B194" s="9" t="n"/>
      <c r="C194" s="10">
        <f>IF($B194="","",IFERROR(VLOOKUP($B194,目標タイム!$A:$B,2,FALSE),""))</f>
        <v/>
      </c>
      <c r="D194" s="10" t="n"/>
      <c r="E194" s="10">
        <f>IF(OR($C194="",$D194=""),"",$D194-$C194)</f>
        <v/>
      </c>
      <c r="F194" s="10">
        <f>IF($B194="","",COUNTIF($B$5:$B194,$B194))</f>
        <v/>
      </c>
      <c r="G194" s="9" t="n"/>
    </row>
    <row r="195">
      <c r="A195" s="7" t="n"/>
      <c r="B195" s="3" t="n"/>
      <c r="C195" s="4">
        <f>IF($B195="","",IFERROR(VLOOKUP($B195,目標タイム!$A:$B,2,FALSE),""))</f>
        <v/>
      </c>
      <c r="D195" s="4" t="n"/>
      <c r="E195" s="4">
        <f>IF(OR($C195="",$D195=""),"",$D195-$C195)</f>
        <v/>
      </c>
      <c r="F195" s="4">
        <f>IF($B195="","",COUNTIF($B$5:$B195,$B195))</f>
        <v/>
      </c>
      <c r="G195" s="3" t="n"/>
    </row>
    <row r="196">
      <c r="A196" s="8" t="n"/>
      <c r="B196" s="9" t="n"/>
      <c r="C196" s="10">
        <f>IF($B196="","",IFERROR(VLOOKUP($B196,目標タイム!$A:$B,2,FALSE),""))</f>
        <v/>
      </c>
      <c r="D196" s="10" t="n"/>
      <c r="E196" s="10">
        <f>IF(OR($C196="",$D196=""),"",$D196-$C196)</f>
        <v/>
      </c>
      <c r="F196" s="10">
        <f>IF($B196="","",COUNTIF($B$5:$B196,$B196))</f>
        <v/>
      </c>
      <c r="G196" s="9" t="n"/>
    </row>
    <row r="197">
      <c r="A197" s="7" t="n"/>
      <c r="B197" s="3" t="n"/>
      <c r="C197" s="4">
        <f>IF($B197="","",IFERROR(VLOOKUP($B197,目標タイム!$A:$B,2,FALSE),""))</f>
        <v/>
      </c>
      <c r="D197" s="4" t="n"/>
      <c r="E197" s="4">
        <f>IF(OR($C197="",$D197=""),"",$D197-$C197)</f>
        <v/>
      </c>
      <c r="F197" s="4">
        <f>IF($B197="","",COUNTIF($B$5:$B197,$B197))</f>
        <v/>
      </c>
      <c r="G197" s="3" t="n"/>
    </row>
    <row r="198">
      <c r="A198" s="8" t="n"/>
      <c r="B198" s="9" t="n"/>
      <c r="C198" s="10">
        <f>IF($B198="","",IFERROR(VLOOKUP($B198,目標タイム!$A:$B,2,FALSE),""))</f>
        <v/>
      </c>
      <c r="D198" s="10" t="n"/>
      <c r="E198" s="10">
        <f>IF(OR($C198="",$D198=""),"",$D198-$C198)</f>
        <v/>
      </c>
      <c r="F198" s="10">
        <f>IF($B198="","",COUNTIF($B$5:$B198,$B198))</f>
        <v/>
      </c>
      <c r="G198" s="9" t="n"/>
    </row>
    <row r="199">
      <c r="A199" s="7" t="n"/>
      <c r="B199" s="3" t="n"/>
      <c r="C199" s="4">
        <f>IF($B199="","",IFERROR(VLOOKUP($B199,目標タイム!$A:$B,2,FALSE),""))</f>
        <v/>
      </c>
      <c r="D199" s="4" t="n"/>
      <c r="E199" s="4">
        <f>IF(OR($C199="",$D199=""),"",$D199-$C199)</f>
        <v/>
      </c>
      <c r="F199" s="4">
        <f>IF($B199="","",COUNTIF($B$5:$B199,$B199))</f>
        <v/>
      </c>
      <c r="G199" s="3" t="n"/>
    </row>
    <row r="200">
      <c r="A200" s="8" t="n"/>
      <c r="B200" s="9" t="n"/>
      <c r="C200" s="10">
        <f>IF($B200="","",IFERROR(VLOOKUP($B200,目標タイム!$A:$B,2,FALSE),""))</f>
        <v/>
      </c>
      <c r="D200" s="10" t="n"/>
      <c r="E200" s="10">
        <f>IF(OR($C200="",$D200=""),"",$D200-$C200)</f>
        <v/>
      </c>
      <c r="F200" s="10">
        <f>IF($B200="","",COUNTIF($B$5:$B200,$B200))</f>
        <v/>
      </c>
      <c r="G200" s="9" t="n"/>
    </row>
    <row r="201">
      <c r="A201" s="7" t="n"/>
      <c r="B201" s="3" t="n"/>
      <c r="C201" s="4">
        <f>IF($B201="","",IFERROR(VLOOKUP($B201,目標タイム!$A:$B,2,FALSE),""))</f>
        <v/>
      </c>
      <c r="D201" s="4" t="n"/>
      <c r="E201" s="4">
        <f>IF(OR($C201="",$D201=""),"",$D201-$C201)</f>
        <v/>
      </c>
      <c r="F201" s="4">
        <f>IF($B201="","",COUNTIF($B$5:$B201,$B201))</f>
        <v/>
      </c>
      <c r="G201" s="3" t="n"/>
    </row>
    <row r="202">
      <c r="A202" s="8" t="n"/>
      <c r="B202" s="9" t="n"/>
      <c r="C202" s="10">
        <f>IF($B202="","",IFERROR(VLOOKUP($B202,目標タイム!$A:$B,2,FALSE),""))</f>
        <v/>
      </c>
      <c r="D202" s="10" t="n"/>
      <c r="E202" s="10">
        <f>IF(OR($C202="",$D202=""),"",$D202-$C202)</f>
        <v/>
      </c>
      <c r="F202" s="10">
        <f>IF($B202="","",COUNTIF($B$5:$B202,$B202))</f>
        <v/>
      </c>
      <c r="G202" s="9" t="n"/>
    </row>
    <row r="203">
      <c r="A203" s="7" t="n"/>
      <c r="B203" s="3" t="n"/>
      <c r="C203" s="4">
        <f>IF($B203="","",IFERROR(VLOOKUP($B203,目標タイム!$A:$B,2,FALSE),""))</f>
        <v/>
      </c>
      <c r="D203" s="4" t="n"/>
      <c r="E203" s="4">
        <f>IF(OR($C203="",$D203=""),"",$D203-$C203)</f>
        <v/>
      </c>
      <c r="F203" s="4">
        <f>IF($B203="","",COUNTIF($B$5:$B203,$B203))</f>
        <v/>
      </c>
      <c r="G203" s="3" t="n"/>
    </row>
    <row r="204">
      <c r="A204" s="8" t="n"/>
      <c r="B204" s="9" t="n"/>
      <c r="C204" s="10">
        <f>IF($B204="","",IFERROR(VLOOKUP($B204,目標タイム!$A:$B,2,FALSE),""))</f>
        <v/>
      </c>
      <c r="D204" s="10" t="n"/>
      <c r="E204" s="10">
        <f>IF(OR($C204="",$D204=""),"",$D204-$C204)</f>
        <v/>
      </c>
      <c r="F204" s="10">
        <f>IF($B204="","",COUNTIF($B$5:$B204,$B204))</f>
        <v/>
      </c>
      <c r="G204" s="9" t="n"/>
    </row>
  </sheetData>
  <conditionalFormatting sqref="E5:E204">
    <cfRule type="cellIs" priority="1" operator="lessThanOrEqual" dxfId="0">
      <formula>0</formula>
    </cfRule>
    <cfRule type="cellIs" priority="2" operator="greaterThan" dxfId="1">
      <formula>0</formula>
    </cfRule>
  </conditionalFormatting>
  <dataValidations count="1">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showDropDown="0" showInputMessage="0" showErrorMessage="0" allowBlank="1" type="list">
      <formula1>=目標タイム!$A$4:$A$14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22" customWidth="1" min="1" max="1"/>
    <col width="9" customWidth="1" min="2" max="2"/>
    <col width="8" customWidth="1" min="3" max="3"/>
    <col width="9" customWidth="1" min="4" max="4"/>
    <col width="9" customWidth="1" min="5" max="5"/>
    <col width="9" customWidth="1" min="6" max="6"/>
    <col width="10" customWidth="1" min="7" max="7"/>
  </cols>
  <sheetData>
    <row r="1">
      <c r="A1" s="6" t="inlineStr">
        <is>
          <t>種目ごとの記録</t>
        </is>
      </c>
    </row>
    <row r="3" ht="24" customHeight="1">
      <c r="A3" s="2" t="inlineStr">
        <is>
          <t>種目</t>
        </is>
      </c>
      <c r="B3" s="2" t="inlineStr">
        <is>
          <t>目標</t>
        </is>
      </c>
      <c r="C3" s="2" t="inlineStr">
        <is>
          <t>回数</t>
        </is>
      </c>
      <c r="D3" s="2" t="inlineStr">
        <is>
          <t>最速</t>
        </is>
      </c>
      <c r="E3" s="2" t="inlineStr">
        <is>
          <t>平均</t>
        </is>
      </c>
      <c r="F3" s="2" t="inlineStr">
        <is>
          <t>直近</t>
        </is>
      </c>
      <c r="G3" s="2" t="inlineStr">
        <is>
          <t>達成</t>
        </is>
      </c>
    </row>
    <row r="4">
      <c r="A4" s="3" t="inlineStr">
        <is>
          <t>読み取り</t>
        </is>
      </c>
      <c r="B4" s="4" t="n">
        <v>25</v>
      </c>
      <c r="C4" s="4">
        <f>COUNTIFS(記録!$B:$B,$A4,記録!$D:$D,"&gt;0")</f>
        <v/>
      </c>
      <c r="D4" s="4">
        <f>IF($C4=0,"",MINIFS(記録!$D:$D,記録!$B:$B,$A4))</f>
        <v/>
      </c>
      <c r="E4" s="4">
        <f>IF($C4=0,"",ROUND(AVERAGEIFS(記録!$D:$D,記録!$B:$B,$A4,記録!$D:$D,"&gt;0"),1))</f>
        <v/>
      </c>
      <c r="F4" s="4">
        <f>IF($C4=0,"",LOOKUP(2,1/((記録!$B$5:$B$204=$A4)*(記録!$D$5:$D$204&gt;0)),記録!$D$5:$D$204))</f>
        <v/>
      </c>
      <c r="G4" s="4">
        <f>IF($C4=0,"—",IF($F4&lt;=$B4,"達成","あと"&amp;ROUND($F4-$B4,1)&amp;"分"))</f>
        <v/>
      </c>
    </row>
    <row r="5">
      <c r="A5" s="3" t="inlineStr">
        <is>
          <t>エスキス</t>
        </is>
      </c>
      <c r="B5" s="4" t="n">
        <v>60</v>
      </c>
      <c r="C5" s="4">
        <f>COUNTIFS(記録!$B:$B,$A5,記録!$D:$D,"&gt;0")</f>
        <v/>
      </c>
      <c r="D5" s="4">
        <f>IF($C5=0,"",MINIFS(記録!$D:$D,記録!$B:$B,$A5))</f>
        <v/>
      </c>
      <c r="E5" s="4">
        <f>IF($C5=0,"",ROUND(AVERAGEIFS(記録!$D:$D,記録!$B:$B,$A5,記録!$D:$D,"&gt;0"),1))</f>
        <v/>
      </c>
      <c r="F5" s="4">
        <f>IF($C5=0,"",LOOKUP(2,1/((記録!$B$5:$B$204=$A5)*(記録!$D$5:$D$204&gt;0)),記録!$D$5:$D$204))</f>
        <v/>
      </c>
      <c r="G5" s="4">
        <f>IF($C5=0,"—",IF($F5&lt;=$B5,"達成","あと"&amp;ROUND($F5-$B5,1)&amp;"分"))</f>
        <v/>
      </c>
    </row>
    <row r="6">
      <c r="A6" s="3" t="inlineStr">
        <is>
          <t>記述</t>
        </is>
      </c>
      <c r="B6" s="4" t="n">
        <v>25</v>
      </c>
      <c r="C6" s="4">
        <f>COUNTIFS(記録!$B:$B,$A6,記録!$D:$D,"&gt;0")</f>
        <v/>
      </c>
      <c r="D6" s="4">
        <f>IF($C6=0,"",MINIFS(記録!$D:$D,記録!$B:$B,$A6))</f>
        <v/>
      </c>
      <c r="E6" s="4">
        <f>IF($C6=0,"",ROUND(AVERAGEIFS(記録!$D:$D,記録!$B:$B,$A6,記録!$D:$D,"&gt;0"),1))</f>
        <v/>
      </c>
      <c r="F6" s="4">
        <f>IF($C6=0,"",LOOKUP(2,1/((記録!$B$5:$B$204=$A6)*(記録!$D$5:$D$204&gt;0)),記録!$D$5:$D$204))</f>
        <v/>
      </c>
      <c r="G6" s="4">
        <f>IF($C6=0,"—",IF($F6&lt;=$B6,"達成","あと"&amp;ROUND($F6-$B6,1)&amp;"分"))</f>
        <v/>
      </c>
    </row>
    <row r="7">
      <c r="A7" s="3" t="inlineStr">
        <is>
          <t>1階平面図兼配置図</t>
        </is>
      </c>
      <c r="B7" s="4" t="n">
        <v>40</v>
      </c>
      <c r="C7" s="4">
        <f>COUNTIFS(記録!$B:$B,$A7,記録!$D:$D,"&gt;0")</f>
        <v/>
      </c>
      <c r="D7" s="4">
        <f>IF($C7=0,"",MINIFS(記録!$D:$D,記録!$B:$B,$A7))</f>
        <v/>
      </c>
      <c r="E7" s="4">
        <f>IF($C7=0,"",ROUND(AVERAGEIFS(記録!$D:$D,記録!$B:$B,$A7,記録!$D:$D,"&gt;0"),1))</f>
        <v/>
      </c>
      <c r="F7" s="4">
        <f>IF($C7=0,"",LOOKUP(2,1/((記録!$B$5:$B$204=$A7)*(記録!$D$5:$D$204&gt;0)),記録!$D$5:$D$204))</f>
        <v/>
      </c>
      <c r="G7" s="4">
        <f>IF($C7=0,"—",IF($F7&lt;=$B7,"達成","あと"&amp;ROUND($F7-$B7,1)&amp;"分"))</f>
        <v/>
      </c>
    </row>
    <row r="8">
      <c r="A8" s="3" t="inlineStr">
        <is>
          <t>2階平面図</t>
        </is>
      </c>
      <c r="B8" s="4" t="n">
        <v>30</v>
      </c>
      <c r="C8" s="4">
        <f>COUNTIFS(記録!$B:$B,$A8,記録!$D:$D,"&gt;0")</f>
        <v/>
      </c>
      <c r="D8" s="4">
        <f>IF($C8=0,"",MINIFS(記録!$D:$D,記録!$B:$B,$A8))</f>
        <v/>
      </c>
      <c r="E8" s="4">
        <f>IF($C8=0,"",ROUND(AVERAGEIFS(記録!$D:$D,記録!$B:$B,$A8,記録!$D:$D,"&gt;0"),1))</f>
        <v/>
      </c>
      <c r="F8" s="4">
        <f>IF($C8=0,"",LOOKUP(2,1/((記録!$B$5:$B$204=$A8)*(記録!$D$5:$D$204&gt;0)),記録!$D$5:$D$204))</f>
        <v/>
      </c>
      <c r="G8" s="4">
        <f>IF($C8=0,"—",IF($F8&lt;=$B8,"達成","あと"&amp;ROUND($F8-$B8,1)&amp;"分"))</f>
        <v/>
      </c>
    </row>
    <row r="9">
      <c r="A9" s="3" t="inlineStr">
        <is>
          <t>3階平面図</t>
        </is>
      </c>
      <c r="B9" s="4" t="n">
        <v>25</v>
      </c>
      <c r="C9" s="4">
        <f>COUNTIFS(記録!$B:$B,$A9,記録!$D:$D,"&gt;0")</f>
        <v/>
      </c>
      <c r="D9" s="4">
        <f>IF($C9=0,"",MINIFS(記録!$D:$D,記録!$B:$B,$A9))</f>
        <v/>
      </c>
      <c r="E9" s="4">
        <f>IF($C9=0,"",ROUND(AVERAGEIFS(記録!$D:$D,記録!$B:$B,$A9,記録!$D:$D,"&gt;0"),1))</f>
        <v/>
      </c>
      <c r="F9" s="4">
        <f>IF($C9=0,"",LOOKUP(2,1/((記録!$B$5:$B$204=$A9)*(記録!$D$5:$D$204&gt;0)),記録!$D$5:$D$204))</f>
        <v/>
      </c>
      <c r="G9" s="4">
        <f>IF($C9=0,"—",IF($F9&lt;=$B9,"達成","あと"&amp;ROUND($F9-$B9,1)&amp;"分"))</f>
        <v/>
      </c>
    </row>
    <row r="10">
      <c r="A10" s="3" t="inlineStr">
        <is>
          <t>床伏図兼小屋伏図</t>
        </is>
      </c>
      <c r="B10" s="4" t="n">
        <v>35</v>
      </c>
      <c r="C10" s="4">
        <f>COUNTIFS(記録!$B:$B,$A10,記録!$D:$D,"&gt;0")</f>
        <v/>
      </c>
      <c r="D10" s="4">
        <f>IF($C10=0,"",MINIFS(記録!$D:$D,記録!$B:$B,$A10))</f>
        <v/>
      </c>
      <c r="E10" s="4">
        <f>IF($C10=0,"",ROUND(AVERAGEIFS(記録!$D:$D,記録!$B:$B,$A10,記録!$D:$D,"&gt;0"),1))</f>
        <v/>
      </c>
      <c r="F10" s="4">
        <f>IF($C10=0,"",LOOKUP(2,1/((記録!$B$5:$B$204=$A10)*(記録!$D$5:$D$204&gt;0)),記録!$D$5:$D$204))</f>
        <v/>
      </c>
      <c r="G10" s="4">
        <f>IF($C10=0,"—",IF($F10&lt;=$B10,"達成","あと"&amp;ROUND($F10-$B10,1)&amp;"分"))</f>
        <v/>
      </c>
    </row>
    <row r="11">
      <c r="A11" s="3" t="inlineStr">
        <is>
          <t>立面図</t>
        </is>
      </c>
      <c r="B11" s="4" t="n">
        <v>20</v>
      </c>
      <c r="C11" s="4">
        <f>COUNTIFS(記録!$B:$B,$A11,記録!$D:$D,"&gt;0")</f>
        <v/>
      </c>
      <c r="D11" s="4">
        <f>IF($C11=0,"",MINIFS(記録!$D:$D,記録!$B:$B,$A11))</f>
        <v/>
      </c>
      <c r="E11" s="4">
        <f>IF($C11=0,"",ROUND(AVERAGEIFS(記録!$D:$D,記録!$B:$B,$A11,記録!$D:$D,"&gt;0"),1))</f>
        <v/>
      </c>
      <c r="F11" s="4">
        <f>IF($C11=0,"",LOOKUP(2,1/((記録!$B$5:$B$204=$A11)*(記録!$D$5:$D$204&gt;0)),記録!$D$5:$D$204))</f>
        <v/>
      </c>
      <c r="G11" s="4">
        <f>IF($C11=0,"—",IF($F11&lt;=$B11,"達成","あと"&amp;ROUND($F11-$B11,1)&amp;"分"))</f>
        <v/>
      </c>
    </row>
    <row r="12">
      <c r="A12" s="3" t="inlineStr">
        <is>
          <t>部分詳細図1/20</t>
        </is>
      </c>
      <c r="B12" s="4" t="n">
        <v>25</v>
      </c>
      <c r="C12" s="4">
        <f>COUNTIFS(記録!$B:$B,$A12,記録!$D:$D,"&gt;0")</f>
        <v/>
      </c>
      <c r="D12" s="4">
        <f>IF($C12=0,"",MINIFS(記録!$D:$D,記録!$B:$B,$A12))</f>
        <v/>
      </c>
      <c r="E12" s="4">
        <f>IF($C12=0,"",ROUND(AVERAGEIFS(記録!$D:$D,記録!$B:$B,$A12,記録!$D:$D,"&gt;0"),1))</f>
        <v/>
      </c>
      <c r="F12" s="4">
        <f>IF($C12=0,"",LOOKUP(2,1/((記録!$B$5:$B$204=$A12)*(記録!$D$5:$D$204&gt;0)),記録!$D$5:$D$204))</f>
        <v/>
      </c>
      <c r="G12" s="4">
        <f>IF($C12=0,"—",IF($F12&lt;=$B12,"達成","あと"&amp;ROUND($F12-$B12,1)&amp;"分"))</f>
        <v/>
      </c>
    </row>
    <row r="13">
      <c r="A13" s="3" t="inlineStr">
        <is>
          <t>面積表</t>
        </is>
      </c>
      <c r="B13" s="4" t="n">
        <v>5</v>
      </c>
      <c r="C13" s="4">
        <f>COUNTIFS(記録!$B:$B,$A13,記録!$D:$D,"&gt;0")</f>
        <v/>
      </c>
      <c r="D13" s="4">
        <f>IF($C13=0,"",MINIFS(記録!$D:$D,記録!$B:$B,$A13))</f>
        <v/>
      </c>
      <c r="E13" s="4">
        <f>IF($C13=0,"",ROUND(AVERAGEIFS(記録!$D:$D,記録!$B:$B,$A13,記録!$D:$D,"&gt;0"),1))</f>
        <v/>
      </c>
      <c r="F13" s="4">
        <f>IF($C13=0,"",LOOKUP(2,1/((記録!$B$5:$B$204=$A13)*(記録!$D$5:$D$204&gt;0)),記録!$D$5:$D$204))</f>
        <v/>
      </c>
      <c r="G13" s="4">
        <f>IF($C13=0,"—",IF($F13&lt;=$B13,"達成","あと"&amp;ROUND($F13-$B13,1)&amp;"分"))</f>
        <v/>
      </c>
    </row>
    <row r="14">
      <c r="A14" s="3" t="inlineStr">
        <is>
          <t>通し（5時間）</t>
        </is>
      </c>
      <c r="B14" s="4" t="n">
        <v>300</v>
      </c>
      <c r="C14" s="4">
        <f>COUNTIFS(記録!$B:$B,$A14,記録!$D:$D,"&gt;0")</f>
        <v/>
      </c>
      <c r="D14" s="4">
        <f>IF($C14=0,"",MINIFS(記録!$D:$D,記録!$B:$B,$A14))</f>
        <v/>
      </c>
      <c r="E14" s="4">
        <f>IF($C14=0,"",ROUND(AVERAGEIFS(記録!$D:$D,記録!$B:$B,$A14,記録!$D:$D,"&gt;0"),1))</f>
        <v/>
      </c>
      <c r="F14" s="4">
        <f>IF($C14=0,"",LOOKUP(2,1/((記録!$B$5:$B$204=$A14)*(記録!$D$5:$D$204&gt;0)),記録!$D$5:$D$204))</f>
        <v/>
      </c>
      <c r="G14" s="4">
        <f>IF($C14=0,"—",IF($F14&lt;=$B14,"達成","あと"&amp;ROUND($F14-$B14,1)&amp;"分"))</f>
        <v/>
      </c>
    </row>
  </sheetData>
  <conditionalFormatting sqref="G4:G14">
    <cfRule type="cellIs" priority="1" operator="equal" dxfId="0">
      <formula>"達成"</formula>
    </cfRule>
  </conditionalFormatting>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10" customWidth="1" min="1" max="1"/>
    <col width="26" customWidth="1" min="2" max="2"/>
    <col width="8" customWidth="1" min="3" max="3"/>
    <col width="44" customWidth="1" min="4" max="4"/>
  </cols>
  <sheetData>
    <row r="1">
      <c r="A1" s="6" t="inlineStr">
        <is>
          <t>本番 5時間の流れ（2026年9月13日 11:00〜16:00）</t>
        </is>
      </c>
    </row>
    <row r="3" ht="24" customHeight="1">
      <c r="A3" s="2" t="inlineStr">
        <is>
          <t>時刻</t>
        </is>
      </c>
      <c r="B3" s="2" t="inlineStr">
        <is>
          <t>やること</t>
        </is>
      </c>
      <c r="C3" s="2" t="inlineStr">
        <is>
          <t>分</t>
        </is>
      </c>
      <c r="D3" s="2" t="inlineStr">
        <is>
          <t>終わっていないと危ないライン</t>
        </is>
      </c>
    </row>
    <row r="4">
      <c r="A4" s="4" t="inlineStr">
        <is>
          <t>11:00</t>
        </is>
      </c>
      <c r="B4" s="3" t="inlineStr">
        <is>
          <t>読み取り・条件の書き出し</t>
        </is>
      </c>
      <c r="C4" s="4" t="n">
        <v>25</v>
      </c>
      <c r="D4" s="3" t="inlineStr">
        <is>
          <t>11:25までに条件表が埋まっている</t>
        </is>
      </c>
    </row>
    <row r="5">
      <c r="A5" s="4" t="inlineStr">
        <is>
          <t>11:25</t>
        </is>
      </c>
      <c r="B5" s="3" t="inlineStr">
        <is>
          <t>エスキス</t>
        </is>
      </c>
      <c r="C5" s="4" t="n">
        <v>60</v>
      </c>
      <c r="D5" s="3" t="inlineStr">
        <is>
          <t>12:25までに間取りが決まっている</t>
        </is>
      </c>
    </row>
    <row r="6">
      <c r="A6" s="11" t="inlineStr">
        <is>
          <t>12:25</t>
        </is>
      </c>
      <c r="B6" s="12" t="inlineStr">
        <is>
          <t>記述（先に片づける）</t>
        </is>
      </c>
      <c r="C6" s="11" t="n">
        <v>25</v>
      </c>
      <c r="D6" s="12" t="inlineStr">
        <is>
          <t>12:50までに記述は全部埋める</t>
        </is>
      </c>
    </row>
    <row r="7">
      <c r="A7" s="4" t="inlineStr">
        <is>
          <t>12:50</t>
        </is>
      </c>
      <c r="B7" s="3" t="inlineStr">
        <is>
          <t>1階平面図 兼 配置図</t>
        </is>
      </c>
      <c r="C7" s="4" t="n">
        <v>40</v>
      </c>
      <c r="D7" s="3" t="inlineStr">
        <is>
          <t>13:30</t>
        </is>
      </c>
    </row>
    <row r="8">
      <c r="A8" s="4" t="inlineStr">
        <is>
          <t>13:30</t>
        </is>
      </c>
      <c r="B8" s="3" t="inlineStr">
        <is>
          <t>2階平面図</t>
        </is>
      </c>
      <c r="C8" s="4" t="n">
        <v>30</v>
      </c>
      <c r="D8" s="3" t="inlineStr">
        <is>
          <t>14:00</t>
        </is>
      </c>
    </row>
    <row r="9">
      <c r="A9" s="4" t="inlineStr">
        <is>
          <t>14:00</t>
        </is>
      </c>
      <c r="B9" s="3" t="inlineStr">
        <is>
          <t>3階平面図</t>
        </is>
      </c>
      <c r="C9" s="4" t="n">
        <v>25</v>
      </c>
      <c r="D9" s="3" t="inlineStr">
        <is>
          <t>14:25</t>
        </is>
      </c>
    </row>
    <row r="10">
      <c r="A10" s="4" t="inlineStr">
        <is>
          <t>14:25</t>
        </is>
      </c>
      <c r="B10" s="3" t="inlineStr">
        <is>
          <t>床伏図 兼 小屋伏図</t>
        </is>
      </c>
      <c r="C10" s="4" t="n">
        <v>35</v>
      </c>
      <c r="D10" s="3" t="inlineStr">
        <is>
          <t>15:00</t>
        </is>
      </c>
    </row>
    <row r="11">
      <c r="A11" s="4" t="inlineStr">
        <is>
          <t>15:00</t>
        </is>
      </c>
      <c r="B11" s="3" t="inlineStr">
        <is>
          <t>立面図</t>
        </is>
      </c>
      <c r="C11" s="4" t="n">
        <v>20</v>
      </c>
      <c r="D11" s="3" t="inlineStr">
        <is>
          <t>15:20</t>
        </is>
      </c>
    </row>
    <row r="12">
      <c r="A12" s="4" t="inlineStr">
        <is>
          <t>15:20</t>
        </is>
      </c>
      <c r="B12" s="3" t="inlineStr">
        <is>
          <t>部分詳細図 1/20</t>
        </is>
      </c>
      <c r="C12" s="4" t="n">
        <v>25</v>
      </c>
      <c r="D12" s="3" t="inlineStr">
        <is>
          <t>15:45</t>
        </is>
      </c>
    </row>
    <row r="13">
      <c r="A13" s="4" t="inlineStr">
        <is>
          <t>15:45</t>
        </is>
      </c>
      <c r="B13" s="3" t="inlineStr">
        <is>
          <t>最終確認（ランクⅣの6項目）</t>
        </is>
      </c>
      <c r="C13" s="4" t="n">
        <v>15</v>
      </c>
      <c r="D13" s="3" t="inlineStr">
        <is>
          <t>16:00 終了</t>
        </is>
      </c>
    </row>
    <row r="16">
      <c r="A16" s="5" t="inlineStr">
        <is>
          <t>※ 記述を先にやるのは、あとに回すと必ず時間が足りなくなるから。図面は雑でも点が残るが、記述の白紙はまるごと失点。</t>
        </is>
      </c>
    </row>
    <row r="18">
      <c r="A18" s="13" t="inlineStr">
        <is>
          <t>最後の15分でみるところ（ランクⅣ回避）</t>
        </is>
      </c>
    </row>
    <row r="19">
      <c r="A19" s="14" t="inlineStr">
        <is>
          <t>□　木造3階建てになっているか（構造・階数の指定どおりか）</t>
        </is>
      </c>
    </row>
    <row r="20">
      <c r="A20" s="14" t="inlineStr">
        <is>
          <t>□　図面6枚＋面積表＋記述、⑴〜⑻すべて描き終わっているか（1つでも未完成なら不合格）</t>
        </is>
      </c>
    </row>
    <row r="21">
      <c r="A21" s="14" t="inlineStr">
        <is>
          <t>□　平面図と伏図で柱の位置が合っているか</t>
        </is>
      </c>
    </row>
    <row r="22">
      <c r="A22" s="14" t="inlineStr">
        <is>
          <t>□　面積表の数字が条件に合っているか</t>
        </is>
      </c>
    </row>
    <row r="23">
      <c r="A23" s="14" t="inlineStr">
        <is>
          <t>□　要求された部屋がすべてあるか・階を間違えていないか</t>
        </is>
      </c>
    </row>
    <row r="24">
      <c r="A24" s="14" t="inlineStr">
        <is>
          <t>□　各階に階段があるか／全部の部屋に入れるか</t>
        </is>
      </c>
    </row>
    <row r="25">
      <c r="A25" s="14" t="inlineStr">
        <is>
          <t>□　室名・寸法・方位・縮尺を書き忘れていないか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2026-09-12T12:41:24Z</dcterms:created>
  <dcterms:modified xsi:type="dcterms:W3CDTF">2026-09-12T12:41:24Z</dcterms:modified>
</cp:coreProperties>
</file>